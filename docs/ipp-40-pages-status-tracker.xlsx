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ilbd\repos\ipp-updated\docs\"/>
    </mc:Choice>
  </mc:AlternateContent>
  <xr:revisionPtr revIDLastSave="0" documentId="13_ncr:1_{E143B9FF-F8F5-477A-BDC9-00C4484CD24D}" xr6:coauthVersionLast="47" xr6:coauthVersionMax="47" xr10:uidLastSave="{00000000-0000-0000-0000-000000000000}"/>
  <bookViews>
    <workbookView xWindow="-120" yWindow="-120" windowWidth="29040" windowHeight="18240" xr2:uid="{00000000-000D-0000-FFFF-FFFF00000000}"/>
  </bookViews>
  <sheets>
    <sheet name="Pages" sheetId="1" r:id="rId1"/>
    <sheet name="Summary" sheetId="2" r:id="rId2"/>
    <sheet name="Legend" sheetId="3" r:id="rId3"/>
  </sheets>
  <definedNames>
    <definedName name="_xlnm._FilterDatabase" localSheetId="0" hidden="1">Pages!$A$4:$Y$44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2" l="1"/>
  <c r="B34" i="2"/>
  <c r="D33" i="2"/>
  <c r="B33" i="2"/>
  <c r="D32" i="2"/>
  <c r="B32" i="2"/>
  <c r="D31" i="2"/>
  <c r="B31" i="2"/>
  <c r="D30" i="2"/>
  <c r="B30" i="2"/>
  <c r="D29" i="2"/>
  <c r="B29" i="2"/>
  <c r="D28" i="2"/>
  <c r="B28" i="2"/>
  <c r="D27" i="2"/>
  <c r="B27" i="2"/>
  <c r="D26" i="2"/>
  <c r="B26" i="2"/>
  <c r="B22" i="2"/>
  <c r="B21" i="2"/>
  <c r="B20" i="2"/>
  <c r="B19" i="2"/>
  <c r="B18" i="2"/>
  <c r="B17" i="2"/>
  <c r="B16" i="2"/>
  <c r="B12" i="2"/>
  <c r="B11" i="2"/>
  <c r="B10" i="2"/>
  <c r="B5" i="2"/>
  <c r="T44" i="1"/>
  <c r="T43" i="1"/>
  <c r="T42" i="1"/>
  <c r="T41" i="1"/>
  <c r="C34" i="2" s="1"/>
  <c r="T40" i="1"/>
  <c r="T39" i="1"/>
  <c r="T38" i="1"/>
  <c r="T37" i="1"/>
  <c r="T36" i="1"/>
  <c r="C33" i="2" s="1"/>
  <c r="T35" i="1"/>
  <c r="T34" i="1"/>
  <c r="T33" i="1"/>
  <c r="T32" i="1"/>
  <c r="T31" i="1"/>
  <c r="C32" i="2" s="1"/>
  <c r="T30" i="1"/>
  <c r="T29" i="1"/>
  <c r="T28" i="1"/>
  <c r="T27" i="1"/>
  <c r="C26" i="2" s="1"/>
  <c r="T26" i="1"/>
  <c r="T25" i="1"/>
  <c r="C31" i="2" s="1"/>
  <c r="T24" i="1"/>
  <c r="T23" i="1"/>
  <c r="T22" i="1"/>
  <c r="T21" i="1"/>
  <c r="T20" i="1"/>
  <c r="T19" i="1"/>
  <c r="T18" i="1"/>
  <c r="T17" i="1"/>
  <c r="T16" i="1"/>
  <c r="C29" i="2" s="1"/>
  <c r="T15" i="1"/>
  <c r="T14" i="1"/>
  <c r="T13" i="1"/>
  <c r="T12" i="1"/>
  <c r="T11" i="1"/>
  <c r="T10" i="1"/>
  <c r="T9" i="1"/>
  <c r="T8" i="1"/>
  <c r="T7" i="1"/>
  <c r="T6" i="1"/>
  <c r="T5" i="1"/>
  <c r="B8" i="2" l="1"/>
  <c r="C30" i="2"/>
  <c r="B7" i="2"/>
  <c r="E32" i="2"/>
  <c r="E26" i="2"/>
  <c r="E33" i="2"/>
  <c r="C16" i="2"/>
  <c r="B6" i="2"/>
  <c r="E34" i="2"/>
  <c r="E29" i="2"/>
  <c r="E31" i="2"/>
  <c r="E30" i="2"/>
  <c r="C21" i="2"/>
  <c r="C17" i="2"/>
  <c r="C27" i="2"/>
  <c r="E27" i="2" s="1"/>
  <c r="C28" i="2"/>
  <c r="E28" i="2" s="1"/>
  <c r="C19" i="2"/>
  <c r="B9" i="2"/>
  <c r="C18" i="2"/>
  <c r="C20" i="2"/>
  <c r="C22" i="2"/>
</calcChain>
</file>

<file path=xl/sharedStrings.xml><?xml version="1.0" encoding="utf-8"?>
<sst xmlns="http://schemas.openxmlformats.org/spreadsheetml/2006/main" count="701" uniqueCount="339">
  <si>
    <t>IPP Next 39 Priorities: Landing Page Status Tracker (40 pages)</t>
  </si>
  <si>
    <t>Source list: 'Priority Equipment Types - Next 39 Priorities (1-39).xlsx' (client, 2026-10-01). Priority 19 (Dryer-Air) is two pages, so 39 priorities = 40 pages. Batch 0 = the approved pilot. Yellow columns are for the IPP team to edit; everything else is maintained by the build.</t>
  </si>
  <si>
    <t>Priority</t>
  </si>
  <si>
    <t>Batch</t>
  </si>
  <si>
    <t>Client Group</t>
  </si>
  <si>
    <t>Client Subgroup</t>
  </si>
  <si>
    <t>Page</t>
  </si>
  <si>
    <t>Live / Proposed URL</t>
  </si>
  <si>
    <t>IMS Category</t>
  </si>
  <si>
    <t>IMS Listing Count</t>
  </si>
  <si>
    <t>Units on Page</t>
  </si>
  <si>
    <t>Units with Photos</t>
  </si>
  <si>
    <t>Primary Keyword</t>
  </si>
  <si>
    <t>Primary KW Volume (US)</t>
  </si>
  <si>
    <t>IMS Inventory Scrape</t>
  </si>
  <si>
    <t>Query Network (Ahrefs)</t>
  </si>
  <si>
    <t>Content Written</t>
  </si>
  <si>
    <t>Content Checks</t>
  </si>
  <si>
    <t>Page Built</t>
  </si>
  <si>
    <t>Client Review Doc</t>
  </si>
  <si>
    <t>Deployed to Vercel</t>
  </si>
  <si>
    <t>Overall Status</t>
  </si>
  <si>
    <t>Client Review</t>
  </si>
  <si>
    <t>Review Page (Vercel)</t>
  </si>
  <si>
    <t>Repo Page</t>
  </si>
  <si>
    <t>Last Updated</t>
  </si>
  <si>
    <t>Notes / Risks</t>
  </si>
  <si>
    <t>1</t>
  </si>
  <si>
    <t>Centrifuge-Lab</t>
  </si>
  <si>
    <t>Lab Centrifuges</t>
  </si>
  <si>
    <t>https://internationalprocessplants.com/process-equipment/centrifuge/lab-centrifuge/</t>
  </si>
  <si>
    <t>https://ims.internationalprocessplants.com/inventory/search/equipment/lab-centrifuge</t>
  </si>
  <si>
    <t>lab centrifuge</t>
  </si>
  <si>
    <t>Done</t>
  </si>
  <si>
    <t>Not sent</t>
  </si>
  <si>
    <t>https://international-process-plants-update-one.vercel.app/equipment/centrifuge/lab-centrifuge/</t>
  </si>
  <si>
    <t>equipment/centrifuge/lab-centrifuge/INTERNAL-REVIEW-lab-centrifuge.html</t>
  </si>
  <si>
    <t>2026-10-02</t>
  </si>
  <si>
    <t>Built. Only 5 units, all process-scale (Carr Centritech Centritec Cell 8, Sharples Type 1P, a beaker centrifuge), not benchtop instruments; the copy says so. 'lab centrifuge' and 'ultracentrifuge' demand is lab-instrument (Beckman, Thermo), so the ultracentrifuge terms are excluded. No size or condition tabs (all used).</t>
  </si>
  <si>
    <t>2</t>
  </si>
  <si>
    <t>Centrifuge-Misc. &amp; Hydraulic</t>
  </si>
  <si>
    <t>Hydraulic and Miscellaneous Centrifuges</t>
  </si>
  <si>
    <t>https://internationalprocessplants.com/process-equipment/centrifuge/misc-and-hydraulic-centrifuge/</t>
  </si>
  <si>
    <t>https://ims.internationalprocessplants.com/inventory/search/equipment/misc-and-hydraulic-centrifuge</t>
  </si>
  <si>
    <t>tubular centrifuge</t>
  </si>
  <si>
    <t>https://international-process-plants-update-one.vercel.app/equipment/centrifuge/misc-and-hydraulic-centrifuge/</t>
  </si>
  <si>
    <t>equipment/centrifuge/misc-and-hydraulic-centrifuge/INTERNAL-REVIEW-misc-and-hydraulic-centrifuge.html</t>
  </si>
  <si>
    <t>Built as 'Tubular, Podbielniak &amp; Hydraulic Centrifuges': IMS's misc bucket is Sharples tubular super centrifuges, Podbielniak extractors and hydraulic drives. 'Hydraulic centrifuge' has no search demand; the page targets tubular / super / sharples / centrifugal extractor.</t>
  </si>
  <si>
    <t>3</t>
  </si>
  <si>
    <t>Centrifuge-Peeler</t>
  </si>
  <si>
    <t>Peeler Centrifuges</t>
  </si>
  <si>
    <t>https://internationalprocessplants.com/process-equipment/centrifuge/peeler-centrifuge/</t>
  </si>
  <si>
    <t>https://ims.internationalprocessplants.com/inventory/search/equipment/peeler-centrifuge</t>
  </si>
  <si>
    <t>peeler centrifuge</t>
  </si>
  <si>
    <t>https://international-process-plants-update-one.vercel.app/equipment/centrifuge/peeler-centrifuge/</t>
  </si>
  <si>
    <t>equipment/centrifuge/peeler-centrifuge/INTERNAL-REVIEW-peeler-centrifuge.html</t>
  </si>
  <si>
    <t>Built. IPP's blog already ranks for 'what is a peeler centrifuge' and 'peeler vs pusher', so the FAQ answers briefly and links to those guides.</t>
  </si>
  <si>
    <t>4</t>
  </si>
  <si>
    <t>Centrifuge-Pusher</t>
  </si>
  <si>
    <t>Parts Only</t>
  </si>
  <si>
    <t>Pusher Centrifuge Parts</t>
  </si>
  <si>
    <t>https://internationalprocessplants.com/process-equipment/centrifuge/pusher-centrifuge-parts/</t>
  </si>
  <si>
    <t>https://ims.internationalprocessplants.com/inventory/search/equipment/pusher-centrifuge/parts-only</t>
  </si>
  <si>
    <t>pusher centrifuge parts</t>
  </si>
  <si>
    <t>https://international-process-plants-update-one.vercel.app/equipment/centrifuge/pusher-centrifuge-parts/</t>
  </si>
  <si>
    <t>equipment/centrifuge/pusher-centrifuge-parts/INTERNAL-REVIEW-pusher-centrifuge-parts.html</t>
  </si>
  <si>
    <t>Built. 21 parts listings, only 1 with a photo, mostly Krauss Maffei SB1000/2 components. Part type comes from the IMS description, and browse cards use IMS keyword search. Generic 'centrifuge parts' demand is lab-instrument parts, so it is excluded.</t>
  </si>
  <si>
    <t>5</t>
  </si>
  <si>
    <t>Pusher Centrifuges</t>
  </si>
  <si>
    <t>https://internationalprocessplants.com/process-equipment/centrifuge/pusher-centrifuge/</t>
  </si>
  <si>
    <t>https://ims.internationalprocessplants.com/inventory/search/equipment/pusher-centrifuge</t>
  </si>
  <si>
    <t>pusher centrifuge</t>
  </si>
  <si>
    <t>https://international-process-plants-update-one.vercel.app/equipment/centrifuge/pusher-centrifuge/</t>
  </si>
  <si>
    <t>equipment/centrifuge/pusher-centrifuge/INTERNAL-REVIEW-pusher-centrifuge.html</t>
  </si>
  <si>
    <t>Built from 26 complete machines (the 21 parts-only listings are on priority 4). The IMS 'Browse All' links show IMS's own pusher search, which includes the parts.</t>
  </si>
  <si>
    <t>6</t>
  </si>
  <si>
    <t>Centrifuge-Solid Bowl-Decanter</t>
  </si>
  <si>
    <t>Decanter Centrifuge Parts</t>
  </si>
  <si>
    <t>https://internationalprocessplants.com/process-equipment/centrifuge/solid-bowl-decanter-centrifuge-parts/</t>
  </si>
  <si>
    <t>https://ims.internationalprocessplants.com/inventory/search/equipment/solid-bowl-decanter-centrifuge/parts-only</t>
  </si>
  <si>
    <t>Not started</t>
  </si>
  <si>
    <t>equipment/centrifuge/solid-bowl-decanter-centrifuge-parts/INTERNAL-REVIEW-solid-bowl-decanter-centrifuge-parts.html</t>
  </si>
  <si>
    <t>7 parts listings on IMS.</t>
  </si>
  <si>
    <t>7</t>
  </si>
  <si>
    <t>Dryer- Nauta / Conical</t>
  </si>
  <si>
    <t>Nauta Dryers</t>
  </si>
  <si>
    <t>https://internationalprocessplants.com/process-equipment/dryer/nauta-dryer/</t>
  </si>
  <si>
    <t>https://ims.internationalprocessplants.com/inventory/search/equipment/nauta-dryer</t>
  </si>
  <si>
    <t>equipment/dryer/nauta-dryer/INTERNAL-REVIEW-nauta-dryer.html</t>
  </si>
  <si>
    <t>8</t>
  </si>
  <si>
    <t>Dryer-Drum</t>
  </si>
  <si>
    <t>Drum Dryers</t>
  </si>
  <si>
    <t>https://internationalprocessplants.com/process-equipment/dryer/drum-dryer/</t>
  </si>
  <si>
    <t>https://ims.internationalprocessplants.com/inventory/search/equipment/drum-dryer</t>
  </si>
  <si>
    <t>equipment/dryer/drum-dryer/INTERNAL-REVIEW-drum-dryer.html</t>
  </si>
  <si>
    <t>9</t>
  </si>
  <si>
    <t>Dryer-Flash</t>
  </si>
  <si>
    <t>Flash Dryers</t>
  </si>
  <si>
    <t>https://internationalprocessplants.com/process-equipment/dryer/flash-dryer/</t>
  </si>
  <si>
    <t>https://ims.internationalprocessplants.com/inventory/search/equipment/flash-dryer</t>
  </si>
  <si>
    <t>equipment/dryer/flash-dryer/INTERNAL-REVIEW-flash-dryer.html</t>
  </si>
  <si>
    <t>Thin inventory: 4 units.</t>
  </si>
  <si>
    <t>10</t>
  </si>
  <si>
    <t>Dryer-Porcupine</t>
  </si>
  <si>
    <t>Parts</t>
  </si>
  <si>
    <t>Porcupine Dryer Parts</t>
  </si>
  <si>
    <t>https://internationalprocessplants.com/process-equipment/dryer/porcupine-dryer-parts/</t>
  </si>
  <si>
    <t>https://ims.internationalprocessplants.com/inventory/search/equipment/porcupine-dryer/parts</t>
  </si>
  <si>
    <t>equipment/dryer/porcupine-dryer-parts/INTERNAL-REVIEW-porcupine-dryer-parts.html</t>
  </si>
  <si>
    <t>Thin inventory: 4 listings.</t>
  </si>
  <si>
    <t>11</t>
  </si>
  <si>
    <t>Dryer-Rotary Hot Air</t>
  </si>
  <si>
    <t>Rotary Hot Air Dryers</t>
  </si>
  <si>
    <t>https://internationalprocessplants.com/process-equipment/dryer/rotary-hot-air-dryer/</t>
  </si>
  <si>
    <t>https://ims.internationalprocessplants.com/inventory/search/equipment/rotary-hot-air-dryer</t>
  </si>
  <si>
    <t>equipment/dryer/rotary-hot-air-dryer/INTERNAL-REVIEW-rotary-hot-air-dryer.html</t>
  </si>
  <si>
    <t>12</t>
  </si>
  <si>
    <t>Dryer-Shelf</t>
  </si>
  <si>
    <t>Shelf Dryers</t>
  </si>
  <si>
    <t>https://internationalprocessplants.com/process-equipment/dryer/shelf-dryer/</t>
  </si>
  <si>
    <t>https://ims.internationalprocessplants.com/inventory/search/equipment/shelf-dryer</t>
  </si>
  <si>
    <t>equipment/dryer/shelf-dryer/INTERNAL-REVIEW-shelf-dryer.html</t>
  </si>
  <si>
    <t>The IMS shelf-dryer search also returns oven dryers (32 listings in total); only true shelf dryers will appear on the page.</t>
  </si>
  <si>
    <t>13</t>
  </si>
  <si>
    <t>Dryer-Thin Film</t>
  </si>
  <si>
    <t>Thin Film Dryers</t>
  </si>
  <si>
    <t>https://internationalprocessplants.com/process-equipment/dryer/thin-film-dryer/</t>
  </si>
  <si>
    <t>https://ims.internationalprocessplants.com/inventory/search/equipment/thin-film-dryer</t>
  </si>
  <si>
    <t>equipment/dryer/thin-film-dryer/INTERNAL-REVIEW-thin-film-dryer.html</t>
  </si>
  <si>
    <t>14</t>
  </si>
  <si>
    <t>Dryer-Thermal Disc</t>
  </si>
  <si>
    <t>Thermal Disc Dryers</t>
  </si>
  <si>
    <t>https://internationalprocessplants.com/process-equipment/dryer/thermal-disc-dryer/</t>
  </si>
  <si>
    <t>https://ims.internationalprocessplants.com/inventory/search/equipment/thermal-disc-dryer</t>
  </si>
  <si>
    <t>equipment/dryer/thermal-disc-dryer/INTERNAL-REVIEW-thermal-disc-dryer.html</t>
  </si>
  <si>
    <t>15</t>
  </si>
  <si>
    <t>Dryer-Spherical</t>
  </si>
  <si>
    <t>Spherical Dryers</t>
  </si>
  <si>
    <t>https://internationalprocessplants.com/process-equipment/dryer/spherical-dryer/</t>
  </si>
  <si>
    <t>https://ims.internationalprocessplants.com/inventory/search/equipment/spherical-dryer</t>
  </si>
  <si>
    <t>equipment/dryer/spherical-dryer/INTERNAL-REVIEW-spherical-dryer.html</t>
  </si>
  <si>
    <t>Thin inventory: 3 units.</t>
  </si>
  <si>
    <t>16</t>
  </si>
  <si>
    <t>Dryer-Pan</t>
  </si>
  <si>
    <t>Pan Dryers</t>
  </si>
  <si>
    <t>https://internationalprocessplants.com/process-equipment/dryer/pan-dryer/</t>
  </si>
  <si>
    <t>https://ims.internationalprocessplants.com/inventory/search/equipment/pan-dryer</t>
  </si>
  <si>
    <t>equipment/dryer/pan-dryer/INTERNAL-REVIEW-pan-dryer.html</t>
  </si>
  <si>
    <t>17</t>
  </si>
  <si>
    <t>Dryer-Oven</t>
  </si>
  <si>
    <t>Oven Dryers</t>
  </si>
  <si>
    <t>https://internationalprocessplants.com/process-equipment/dryer/oven-dryer/</t>
  </si>
  <si>
    <t>https://ims.internationalprocessplants.com/inventory/search/equipment/oven-dryer</t>
  </si>
  <si>
    <t>equipment/dryer/oven-dryer/INTERNAL-REVIEW-oven-dryer.html</t>
  </si>
  <si>
    <t>18</t>
  </si>
  <si>
    <t>Dryer-Flaker Drum and Belt</t>
  </si>
  <si>
    <t>Flaker Drum and Belt Dryers</t>
  </si>
  <si>
    <t>https://internationalprocessplants.com/process-equipment/dryer/flaker-drum-and-belt-dryer/</t>
  </si>
  <si>
    <t>https://ims.internationalprocessplants.com/inventory/search/equipment/flaker-drum-and-belt-dryer</t>
  </si>
  <si>
    <t>equipment/dryer/flaker-drum-and-belt-dryer/INTERNAL-REVIEW-flaker-drum-and-belt-dryer.html</t>
  </si>
  <si>
    <t>19a</t>
  </si>
  <si>
    <t>Dryer-Air</t>
  </si>
  <si>
    <t>Desiccant</t>
  </si>
  <si>
    <t>Desiccant Air Dryers</t>
  </si>
  <si>
    <t>https://internationalprocessplants.com/process-equipment/dryer/desiccant/</t>
  </si>
  <si>
    <t>https://ims.internationalprocessplants.com/inventory/search/equipment/air-dryer/desiccant</t>
  </si>
  <si>
    <t>equipment/dryer/desiccant/INTERNAL-REVIEW-desiccant.html</t>
  </si>
  <si>
    <t>19b</t>
  </si>
  <si>
    <t>Refrigerant/Heat</t>
  </si>
  <si>
    <t>Refrigerated Air Dryers</t>
  </si>
  <si>
    <t>https://internationalprocessplants.com/process-equipment/dryer/refrigerant-heat/</t>
  </si>
  <si>
    <t>https://ims.internationalprocessplants.com/inventory/search/equipment/air-dryer/refrigerant-heat</t>
  </si>
  <si>
    <t>equipment/dryer/refrigerant-heat/INTERNAL-REVIEW-refrigerant-heat.html</t>
  </si>
  <si>
    <t>20</t>
  </si>
  <si>
    <t>Heat Exchanger</t>
  </si>
  <si>
    <t>Air Fin</t>
  </si>
  <si>
    <t>Air Fin Heat Exchangers</t>
  </si>
  <si>
    <t>https://internationalprocessplants.com/process-equipment/heat-exchanger/air-fin/</t>
  </si>
  <si>
    <t>https://ims.internationalprocessplants.com/inventory/search/equipment/heat-exchanger/air-fin</t>
  </si>
  <si>
    <t>equipment/heat-exchanger/air-fin/INTERNAL-REVIEW-air-fin.html</t>
  </si>
  <si>
    <t>Thin inventory: 5 units.</t>
  </si>
  <si>
    <t>21</t>
  </si>
  <si>
    <t>Block</t>
  </si>
  <si>
    <t>Block Heat Exchangers</t>
  </si>
  <si>
    <t>https://internationalprocessplants.com/process-equipment/heat-exchanger/block/</t>
  </si>
  <si>
    <t>https://ims.internationalprocessplants.com/inventory/search/equipment/heat-exchanger/block</t>
  </si>
  <si>
    <t>equipment/heat-exchanger/block/INTERNAL-REVIEW-block.html</t>
  </si>
  <si>
    <t>22</t>
  </si>
  <si>
    <t>Plate and Frame</t>
  </si>
  <si>
    <t>Plate and Frame Heat Exchangers</t>
  </si>
  <si>
    <t>https://internationalprocessplants.com/process-equipment/heat-exchanger/plate-and-frame/</t>
  </si>
  <si>
    <t>https://ims.internationalprocessplants.com/inventory/search/equipment/heat-exchanger/plate-and-frame</t>
  </si>
  <si>
    <t>plate and frame heat exchanger</t>
  </si>
  <si>
    <t>https://international-process-plants-update-one.vercel.app/equipment/heat-exchanger/plate-and-frame/</t>
  </si>
  <si>
    <t>equipment/heat-exchanger/plate-and-frame/INTERNAL-REVIEW-plate-and-frame.html</t>
  </si>
  <si>
    <t>2026-10-01</t>
  </si>
  <si>
    <t>Pilot. Rev 4 approved internally on 2026-10-01 (rev 1 copy, live reactor layout, IMS listing). It is the model for the other 39 pages.</t>
  </si>
  <si>
    <t>23</t>
  </si>
  <si>
    <t>Spiral</t>
  </si>
  <si>
    <t>Spiral Heat Exchangers</t>
  </si>
  <si>
    <t>https://internationalprocessplants.com/process-equipment/heat-exchanger/spiral/</t>
  </si>
  <si>
    <t>https://ims.internationalprocessplants.com/inventory/search/equipment/heat-exchanger/spiral</t>
  </si>
  <si>
    <t>equipment/heat-exchanger/spiral/INTERNAL-REVIEW-spiral.html</t>
  </si>
  <si>
    <t>24</t>
  </si>
  <si>
    <t>Welded Plate</t>
  </si>
  <si>
    <t>Welded Plate Heat Exchangers</t>
  </si>
  <si>
    <t>https://internationalprocessplants.com/process-equipment/heat-exchanger/welded-plate/</t>
  </si>
  <si>
    <t>https://ims.internationalprocessplants.com/inventory/search/equipment/heat-exchanger/welded-plate</t>
  </si>
  <si>
    <t>equipment/heat-exchanger/welded-plate/INTERNAL-REVIEW-welded-plate.html</t>
  </si>
  <si>
    <t>25</t>
  </si>
  <si>
    <t>Homogenizer</t>
  </si>
  <si>
    <t>Homogenizers</t>
  </si>
  <si>
    <t>https://internationalprocessplants.com/process-equipment/homogenizer/</t>
  </si>
  <si>
    <t>https://ims.internationalprocessplants.com/inventory/search/equipment/homogenizer</t>
  </si>
  <si>
    <t>equipment/homogenizer/INTERNAL-REVIEW-homogenizer.html</t>
  </si>
  <si>
    <t>26</t>
  </si>
  <si>
    <t>Incinerator</t>
  </si>
  <si>
    <t>Incinerators</t>
  </si>
  <si>
    <t>https://internationalprocessplants.com/process-equipment/incinerator/</t>
  </si>
  <si>
    <t>https://ims.internationalprocessplants.com/inventory/search/equipment/incinerator</t>
  </si>
  <si>
    <t>equipment/incinerator/INTERNAL-REVIEW-incinerator.html</t>
  </si>
  <si>
    <t>Thin inventory: 1 unit on IMS.</t>
  </si>
  <si>
    <t>27</t>
  </si>
  <si>
    <t>Kettle</t>
  </si>
  <si>
    <t>Kettles</t>
  </si>
  <si>
    <t>https://internationalprocessplants.com/process-equipment/kettle/</t>
  </si>
  <si>
    <t>https://ims.internationalprocessplants.com/inventory/search/equipment/kettle</t>
  </si>
  <si>
    <t>equipment/kettle/INTERNAL-REVIEW-kettle.html</t>
  </si>
  <si>
    <t>Thin inventory: 2 units.</t>
  </si>
  <si>
    <t>28</t>
  </si>
  <si>
    <t>Kiln</t>
  </si>
  <si>
    <t>Kilns</t>
  </si>
  <si>
    <t>https://internationalprocessplants.com/process-equipment/kiln/</t>
  </si>
  <si>
    <t>https://ims.internationalprocessplants.com/inventory/search/equipment/kiln</t>
  </si>
  <si>
    <t>equipment/kiln/INTERNAL-REVIEW-kiln.html</t>
  </si>
  <si>
    <t>29</t>
  </si>
  <si>
    <t>Mill</t>
  </si>
  <si>
    <t>Ball</t>
  </si>
  <si>
    <t>Ball Mills</t>
  </si>
  <si>
    <t>https://internationalprocessplants.com/process-equipment/mill/ball/</t>
  </si>
  <si>
    <t>https://ims.internationalprocessplants.com/inventory/search/equipment/mill/ball</t>
  </si>
  <si>
    <t>equipment/mill/ball/INTERNAL-REVIEW-ball.html</t>
  </si>
  <si>
    <t>30</t>
  </si>
  <si>
    <t>Colloid</t>
  </si>
  <si>
    <t>Colloid Mills</t>
  </si>
  <si>
    <t>https://internationalprocessplants.com/process-equipment/mill/colloid/</t>
  </si>
  <si>
    <t>https://ims.internationalprocessplants.com/inventory/search/equipment/mill/colloid</t>
  </si>
  <si>
    <t>equipment/mill/colloid/INTERNAL-REVIEW-colloid.html</t>
  </si>
  <si>
    <t>31</t>
  </si>
  <si>
    <t>Kady</t>
  </si>
  <si>
    <t>Kady Mills</t>
  </si>
  <si>
    <t>https://internationalprocessplants.com/process-equipment/mill/kady/</t>
  </si>
  <si>
    <t>https://ims.internationalprocessplants.com/inventory/search/equipment/mill/kady</t>
  </si>
  <si>
    <t>equipment/mill/kady/INTERNAL-REVIEW-kady.html</t>
  </si>
  <si>
    <t>32</t>
  </si>
  <si>
    <t>Pebble</t>
  </si>
  <si>
    <t>Pebble Mills</t>
  </si>
  <si>
    <t>https://internationalprocessplants.com/process-equipment/mill/pebble/</t>
  </si>
  <si>
    <t>https://ims.internationalprocessplants.com/inventory/search/equipment/mill/pebble</t>
  </si>
  <si>
    <t>equipment/mill/pebble/INTERNAL-REVIEW-pebble.html</t>
  </si>
  <si>
    <t>IMS shows 0 units. The page will be a sourcing page with no listing.</t>
  </si>
  <si>
    <t>33</t>
  </si>
  <si>
    <t>Pellet</t>
  </si>
  <si>
    <t>Pellet Mills</t>
  </si>
  <si>
    <t>https://internationalprocessplants.com/process-equipment/mill/pellet/</t>
  </si>
  <si>
    <t>https://ims.internationalprocessplants.com/inventory/search/equipment/mill/pellet</t>
  </si>
  <si>
    <t>equipment/mill/pellet/INTERNAL-REVIEW-pellet.html</t>
  </si>
  <si>
    <t>34</t>
  </si>
  <si>
    <t>Roll</t>
  </si>
  <si>
    <t>Roll Mills</t>
  </si>
  <si>
    <t>https://internationalprocessplants.com/process-equipment/mill/roll/</t>
  </si>
  <si>
    <t>https://ims.internationalprocessplants.com/inventory/search/equipment/mill/roll</t>
  </si>
  <si>
    <t>equipment/mill/roll/INTERNAL-REVIEW-roll.html</t>
  </si>
  <si>
    <t>35</t>
  </si>
  <si>
    <t>Shot And Sand</t>
  </si>
  <si>
    <t>Shot and Sand Mills</t>
  </si>
  <si>
    <t>https://internationalprocessplants.com/process-equipment/mill/shot-and-sand/</t>
  </si>
  <si>
    <t>https://ims.internationalprocessplants.com/inventory/search/equipment/mill/shot-and-sand</t>
  </si>
  <si>
    <t>equipment/mill/shot-and-sand/INTERNAL-REVIEW-shot-and-sand.html</t>
  </si>
  <si>
    <t>IMS Mill &gt; Shot And Sand (33 listings). IMS also has a separate Mixer-Shot and Sand type, so check the entity overlap.</t>
  </si>
  <si>
    <t>36</t>
  </si>
  <si>
    <t>Mixer-Banbury</t>
  </si>
  <si>
    <t>Banbury Mixers</t>
  </si>
  <si>
    <t>https://internationalprocessplants.com/process-equipment/mixer/banbury-mixer/</t>
  </si>
  <si>
    <t>https://ims.internationalprocessplants.com/inventory/search/equipment/banbury-mixer</t>
  </si>
  <si>
    <t>equipment/mixer/banbury-mixer/INTERNAL-REVIEW-banbury-mixer.html</t>
  </si>
  <si>
    <t>37</t>
  </si>
  <si>
    <t>Mixer-Charge Can and Pony</t>
  </si>
  <si>
    <t>Charge Can and Pony Mixers</t>
  </si>
  <si>
    <t>https://internationalprocessplants.com/process-equipment/mixer/charge-can-and-pony-mixer/</t>
  </si>
  <si>
    <t>https://ims.internationalprocessplants.com/inventory/search/equipment/charge-can-and-pony-mixer</t>
  </si>
  <si>
    <t>equipment/mixer/charge-can-and-pony-mixer/INTERNAL-REVIEW-charge-can-and-pony-mixer.html</t>
  </si>
  <si>
    <t>38</t>
  </si>
  <si>
    <t>Mixer-Disperser</t>
  </si>
  <si>
    <t>Disperser Mixers</t>
  </si>
  <si>
    <t>https://internationalprocessplants.com/process-equipment/mixer/disperser-mixer/</t>
  </si>
  <si>
    <t>https://ims.internationalprocessplants.com/inventory/search/equipment/disperser-mixer</t>
  </si>
  <si>
    <t>equipment/mixer/disperser-mixer/INTERNAL-REVIEW-disperser-mixer.html</t>
  </si>
  <si>
    <t>The IMS disperser search also returns a batch-type agitated reactor; it is excluded from the page.</t>
  </si>
  <si>
    <t>39</t>
  </si>
  <si>
    <t>Mixer-Munson and Rotating</t>
  </si>
  <si>
    <t>Munson and Rotary Mixers</t>
  </si>
  <si>
    <t>https://internationalprocessplants.com/process-equipment/mixer/munson-rotary-mixer/</t>
  </si>
  <si>
    <t>https://ims.internationalprocessplants.com/inventory/search/equipment/munson-rotary-mixer</t>
  </si>
  <si>
    <t>equipment/mixer/munson-rotary-mixer/INTERNAL-REVIEW-munson-rotary-mixer.html</t>
  </si>
  <si>
    <t>Summary</t>
  </si>
  <si>
    <t>Every figure on this sheet is a formula over the Pages sheet.</t>
  </si>
  <si>
    <t>Measure</t>
  </si>
  <si>
    <t>Value</t>
  </si>
  <si>
    <t>Pages in scope</t>
  </si>
  <si>
    <t>Ready for client review</t>
  </si>
  <si>
    <t>In progress</t>
  </si>
  <si>
    <t>Blocked</t>
  </si>
  <si>
    <t>Approved by client</t>
  </si>
  <si>
    <t>Changes requested by client</t>
  </si>
  <si>
    <t>IMS units captured so far</t>
  </si>
  <si>
    <t>Progress by stage</t>
  </si>
  <si>
    <t>Stage</t>
  </si>
  <si>
    <t>Share of pages</t>
  </si>
  <si>
    <t>Progress by batch (5 pages per batch; batch 0 = pilot)</t>
  </si>
  <si>
    <t>Pages</t>
  </si>
  <si>
    <t>Approved</t>
  </si>
  <si>
    <t>Batch status</t>
  </si>
  <si>
    <t>How to read and edit this tracker</t>
  </si>
  <si>
    <t>Stage values</t>
  </si>
  <si>
    <t>Not started / In progress / Done / Blocked / N/A (drop-down). Overall Status is computed: all seven stages Done (or N/A) = Ready for client review.</t>
  </si>
  <si>
    <t>Every unit IMS lists for the category, in IMS's own Featured order, with all detail-page attributes and the IMS photo. Stored in the repo under data/&lt;group&gt;/&lt;page&gt;/.</t>
  </si>
  <si>
    <t>Direct and authority query networks with US volumes, plus the excluded queries and why. Shipped in each page's brief workbook.</t>
  </si>
  <si>
    <t>Sections written with the anup-commercial-content pipeline in the approved pilot style (rev 1 copy, live reactor layout).</t>
  </si>
  <si>
    <t>section_check.py per section and whole page with no blocking findings, plus the IPP page checker (no em dashes, no 'Unknown', dual units, absolute contact links, no exact stock counts).</t>
  </si>
  <si>
    <t>HTML page in the live reactor-hub layout: logo strip, IMS-style listing with filters, browse cards, tabs, FAQ, brand JSON-LD.</t>
  </si>
  <si>
    <t>Word document of the page copy for the client, in docs/new-pages-for-review/ in the repo.</t>
  </si>
  <si>
    <t>Pushed to access-op-digital/international-process-plants-updated main; Vercel deploys automatically. The review URL is noindex.</t>
  </si>
  <si>
    <t>What IMS's category search reports on the capture date. Units on Page can be lower when IMS's search also returns a neighbouring type (for example shelf-dryer search returns oven dryers, pusher-centrifuge returns its parts-only subtype).</t>
  </si>
  <si>
    <t>Yellow columns</t>
  </si>
  <si>
    <t>Client Review and Notes / Risks are for the IPP team. Everything else is overwritten when the tracker is regenerated after each batch.</t>
  </si>
  <si>
    <t>Example row</t>
  </si>
  <si>
    <t>Priority 22, Plate and Frame Heat Exchangers (the pilot): all seven stages Done, so Overall Status reads Ready for client review and the Vercel review page is linked.</t>
  </si>
  <si>
    <t>Generated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</si>
</sst>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rgb="FF18333E"/>
      <name val="Arial"/>
    </font>
    <font>
      <i/>
      <sz val="9"/>
      <color rgb="FF555555"/>
      <name val="Arial"/>
    </font>
    <font>
      <b/>
      <sz val="10"/>
      <color rgb="FFFFFFFF"/>
      <name val="Arial"/>
    </font>
    <font>
      <sz val="10"/>
      <name val="Arial"/>
    </font>
    <font>
      <u/>
      <sz val="10"/>
      <color rgb="FF1A8FC4"/>
      <name val="Arial"/>
    </font>
    <font>
      <b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8333E"/>
      </patternFill>
    </fill>
    <fill>
      <patternFill patternType="solid">
        <fgColor rgb="FFFFF8DC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6" fillId="0" borderId="1" xfId="0" applyFont="1" applyBorder="1"/>
    <xf numFmtId="0" fontId="4" fillId="3" borderId="1" xfId="0" applyFont="1" applyFill="1" applyBorder="1" applyAlignment="1">
      <alignment vertical="top" wrapText="1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6" fillId="0" borderId="0" xfId="0" applyFont="1"/>
    <xf numFmtId="9" fontId="4" fillId="0" borderId="1" xfId="0" applyNumberFormat="1" applyFont="1" applyBorder="1"/>
    <xf numFmtId="0" fontId="6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4" fillId="0" borderId="0" xfId="0" applyFont="1"/>
    <xf numFmtId="0" fontId="2" fillId="0" borderId="0" xfId="0" applyFont="1" applyAlignment="1">
      <alignment vertical="top" wrapText="1"/>
    </xf>
    <xf numFmtId="0" fontId="0" fillId="0" borderId="0" xfId="0"/>
  </cellXfs>
  <cellStyles count="1">
    <cellStyle name="Normal" xfId="0" builtinId="0"/>
  </cellStyles>
  <dxfs count="9"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3E6CB"/>
        </patternFill>
      </fill>
    </dxf>
    <dxf>
      <fill>
        <patternFill patternType="solid">
          <fgColor rgb="FFE2E3E5"/>
        </patternFill>
      </fill>
    </dxf>
    <dxf>
      <fill>
        <patternFill patternType="solid">
          <fgColor rgb="FFEEF1F4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3E6CB"/>
        </patternFill>
      </fill>
    </dxf>
    <dxf>
      <fill>
        <patternFill patternType="solid">
          <fgColor rgb="FFD4ED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internationalprocessplants.com/process-equipment/dryer/rotary-hot-air-dryer/" TargetMode="External"/><Relationship Id="rId21" Type="http://schemas.openxmlformats.org/officeDocument/2006/relationships/hyperlink" Target="https://ims.internationalprocessplants.com/inventory/search/equipment/drum-dryer" TargetMode="External"/><Relationship Id="rId42" Type="http://schemas.openxmlformats.org/officeDocument/2006/relationships/hyperlink" Target="https://internationalprocessplants.com/process-equipment/dryer/desiccant/" TargetMode="External"/><Relationship Id="rId47" Type="http://schemas.openxmlformats.org/officeDocument/2006/relationships/hyperlink" Target="https://ims.internationalprocessplants.com/inventory/search/equipment/heat-exchanger/air-fin" TargetMode="External"/><Relationship Id="rId63" Type="http://schemas.openxmlformats.org/officeDocument/2006/relationships/hyperlink" Target="https://internationalprocessplants.com/process-equipment/kiln/" TargetMode="External"/><Relationship Id="rId68" Type="http://schemas.openxmlformats.org/officeDocument/2006/relationships/hyperlink" Target="https://ims.internationalprocessplants.com/inventory/search/equipment/mill/colloid" TargetMode="External"/><Relationship Id="rId84" Type="http://schemas.openxmlformats.org/officeDocument/2006/relationships/hyperlink" Target="https://ims.internationalprocessplants.com/inventory/search/equipment/disperser-mixer" TargetMode="External"/><Relationship Id="rId16" Type="http://schemas.openxmlformats.org/officeDocument/2006/relationships/hyperlink" Target="https://internationalprocessplants.com/process-equipment/centrifuge/solid-bowl-decanter-centrifuge-parts/" TargetMode="External"/><Relationship Id="rId11" Type="http://schemas.openxmlformats.org/officeDocument/2006/relationships/hyperlink" Target="https://ims.internationalprocessplants.com/inventory/search/equipment/pusher-centrifuge/parts-only" TargetMode="External"/><Relationship Id="rId32" Type="http://schemas.openxmlformats.org/officeDocument/2006/relationships/hyperlink" Target="https://internationalprocessplants.com/process-equipment/dryer/thermal-disc-dryer/" TargetMode="External"/><Relationship Id="rId37" Type="http://schemas.openxmlformats.org/officeDocument/2006/relationships/hyperlink" Target="https://ims.internationalprocessplants.com/inventory/search/equipment/pan-dryer" TargetMode="External"/><Relationship Id="rId53" Type="http://schemas.openxmlformats.org/officeDocument/2006/relationships/hyperlink" Target="https://internationalprocessplants.com/process-equipment/heat-exchanger/spiral/" TargetMode="External"/><Relationship Id="rId58" Type="http://schemas.openxmlformats.org/officeDocument/2006/relationships/hyperlink" Target="https://ims.internationalprocessplants.com/inventory/search/equipment/homogenizer" TargetMode="External"/><Relationship Id="rId74" Type="http://schemas.openxmlformats.org/officeDocument/2006/relationships/hyperlink" Target="https://ims.internationalprocessplants.com/inventory/search/equipment/mill/pellet" TargetMode="External"/><Relationship Id="rId79" Type="http://schemas.openxmlformats.org/officeDocument/2006/relationships/hyperlink" Target="https://internationalprocessplants.com/process-equipment/mixer/banbury-mixer/" TargetMode="External"/><Relationship Id="rId5" Type="http://schemas.openxmlformats.org/officeDocument/2006/relationships/hyperlink" Target="https://ims.internationalprocessplants.com/inventory/search/equipment/misc-and-hydraulic-centrifuge" TargetMode="External"/><Relationship Id="rId19" Type="http://schemas.openxmlformats.org/officeDocument/2006/relationships/hyperlink" Target="https://ims.internationalprocessplants.com/inventory/search/equipment/nauta-dryer" TargetMode="External"/><Relationship Id="rId14" Type="http://schemas.openxmlformats.org/officeDocument/2006/relationships/hyperlink" Target="https://ims.internationalprocessplants.com/inventory/search/equipment/pusher-centrifuge" TargetMode="External"/><Relationship Id="rId22" Type="http://schemas.openxmlformats.org/officeDocument/2006/relationships/hyperlink" Target="https://internationalprocessplants.com/process-equipment/dryer/flash-dryer/" TargetMode="External"/><Relationship Id="rId27" Type="http://schemas.openxmlformats.org/officeDocument/2006/relationships/hyperlink" Target="https://ims.internationalprocessplants.com/inventory/search/equipment/rotary-hot-air-dryer" TargetMode="External"/><Relationship Id="rId30" Type="http://schemas.openxmlformats.org/officeDocument/2006/relationships/hyperlink" Target="https://internationalprocessplants.com/process-equipment/dryer/thin-film-dryer/" TargetMode="External"/><Relationship Id="rId35" Type="http://schemas.openxmlformats.org/officeDocument/2006/relationships/hyperlink" Target="https://ims.internationalprocessplants.com/inventory/search/equipment/spherical-dryer" TargetMode="External"/><Relationship Id="rId43" Type="http://schemas.openxmlformats.org/officeDocument/2006/relationships/hyperlink" Target="https://ims.internationalprocessplants.com/inventory/search/equipment/air-dryer/desiccant" TargetMode="External"/><Relationship Id="rId48" Type="http://schemas.openxmlformats.org/officeDocument/2006/relationships/hyperlink" Target="https://internationalprocessplants.com/process-equipment/heat-exchanger/block/" TargetMode="External"/><Relationship Id="rId56" Type="http://schemas.openxmlformats.org/officeDocument/2006/relationships/hyperlink" Target="https://ims.internationalprocessplants.com/inventory/search/equipment/heat-exchanger/welded-plate" TargetMode="External"/><Relationship Id="rId64" Type="http://schemas.openxmlformats.org/officeDocument/2006/relationships/hyperlink" Target="https://ims.internationalprocessplants.com/inventory/search/equipment/kiln" TargetMode="External"/><Relationship Id="rId69" Type="http://schemas.openxmlformats.org/officeDocument/2006/relationships/hyperlink" Target="https://internationalprocessplants.com/process-equipment/mill/kady/" TargetMode="External"/><Relationship Id="rId77" Type="http://schemas.openxmlformats.org/officeDocument/2006/relationships/hyperlink" Target="https://internationalprocessplants.com/process-equipment/mill/shot-and-sand/" TargetMode="External"/><Relationship Id="rId8" Type="http://schemas.openxmlformats.org/officeDocument/2006/relationships/hyperlink" Target="https://ims.internationalprocessplants.com/inventory/search/equipment/peeler-centrifuge" TargetMode="External"/><Relationship Id="rId51" Type="http://schemas.openxmlformats.org/officeDocument/2006/relationships/hyperlink" Target="https://ims.internationalprocessplants.com/inventory/search/equipment/heat-exchanger/plate-and-frame" TargetMode="External"/><Relationship Id="rId72" Type="http://schemas.openxmlformats.org/officeDocument/2006/relationships/hyperlink" Target="https://ims.internationalprocessplants.com/inventory/search/equipment/mill/pebble" TargetMode="External"/><Relationship Id="rId80" Type="http://schemas.openxmlformats.org/officeDocument/2006/relationships/hyperlink" Target="https://ims.internationalprocessplants.com/inventory/search/equipment/banbury-mixer" TargetMode="External"/><Relationship Id="rId85" Type="http://schemas.openxmlformats.org/officeDocument/2006/relationships/hyperlink" Target="https://internationalprocessplants.com/process-equipment/mixer/munson-rotary-mixer/" TargetMode="External"/><Relationship Id="rId3" Type="http://schemas.openxmlformats.org/officeDocument/2006/relationships/hyperlink" Target="https://international-process-plants-update-one.vercel.app/equipment/centrifuge/lab-centrifuge/" TargetMode="External"/><Relationship Id="rId12" Type="http://schemas.openxmlformats.org/officeDocument/2006/relationships/hyperlink" Target="https://international-process-plants-update-one.vercel.app/equipment/centrifuge/pusher-centrifuge-parts/" TargetMode="External"/><Relationship Id="rId17" Type="http://schemas.openxmlformats.org/officeDocument/2006/relationships/hyperlink" Target="https://ims.internationalprocessplants.com/inventory/search/equipment/solid-bowl-decanter-centrifuge/parts-only" TargetMode="External"/><Relationship Id="rId25" Type="http://schemas.openxmlformats.org/officeDocument/2006/relationships/hyperlink" Target="https://ims.internationalprocessplants.com/inventory/search/equipment/porcupine-dryer/parts" TargetMode="External"/><Relationship Id="rId33" Type="http://schemas.openxmlformats.org/officeDocument/2006/relationships/hyperlink" Target="https://ims.internationalprocessplants.com/inventory/search/equipment/thermal-disc-dryer" TargetMode="External"/><Relationship Id="rId38" Type="http://schemas.openxmlformats.org/officeDocument/2006/relationships/hyperlink" Target="https://internationalprocessplants.com/process-equipment/dryer/oven-dryer/" TargetMode="External"/><Relationship Id="rId46" Type="http://schemas.openxmlformats.org/officeDocument/2006/relationships/hyperlink" Target="https://internationalprocessplants.com/process-equipment/heat-exchanger/air-fin/" TargetMode="External"/><Relationship Id="rId59" Type="http://schemas.openxmlformats.org/officeDocument/2006/relationships/hyperlink" Target="https://internationalprocessplants.com/process-equipment/incinerator/" TargetMode="External"/><Relationship Id="rId67" Type="http://schemas.openxmlformats.org/officeDocument/2006/relationships/hyperlink" Target="https://internationalprocessplants.com/process-equipment/mill/colloid/" TargetMode="External"/><Relationship Id="rId20" Type="http://schemas.openxmlformats.org/officeDocument/2006/relationships/hyperlink" Target="https://internationalprocessplants.com/process-equipment/dryer/drum-dryer/" TargetMode="External"/><Relationship Id="rId41" Type="http://schemas.openxmlformats.org/officeDocument/2006/relationships/hyperlink" Target="https://ims.internationalprocessplants.com/inventory/search/equipment/flaker-drum-and-belt-dryer" TargetMode="External"/><Relationship Id="rId54" Type="http://schemas.openxmlformats.org/officeDocument/2006/relationships/hyperlink" Target="https://ims.internationalprocessplants.com/inventory/search/equipment/heat-exchanger/spiral" TargetMode="External"/><Relationship Id="rId62" Type="http://schemas.openxmlformats.org/officeDocument/2006/relationships/hyperlink" Target="https://ims.internationalprocessplants.com/inventory/search/equipment/kettle" TargetMode="External"/><Relationship Id="rId70" Type="http://schemas.openxmlformats.org/officeDocument/2006/relationships/hyperlink" Target="https://ims.internationalprocessplants.com/inventory/search/equipment/mill/kady" TargetMode="External"/><Relationship Id="rId75" Type="http://schemas.openxmlformats.org/officeDocument/2006/relationships/hyperlink" Target="https://internationalprocessplants.com/process-equipment/mill/roll/" TargetMode="External"/><Relationship Id="rId83" Type="http://schemas.openxmlformats.org/officeDocument/2006/relationships/hyperlink" Target="https://internationalprocessplants.com/process-equipment/mixer/disperser-mixer/" TargetMode="External"/><Relationship Id="rId1" Type="http://schemas.openxmlformats.org/officeDocument/2006/relationships/hyperlink" Target="https://internationalprocessplants.com/process-equipment/centrifuge/lab-centrifuge/" TargetMode="External"/><Relationship Id="rId6" Type="http://schemas.openxmlformats.org/officeDocument/2006/relationships/hyperlink" Target="https://international-process-plants-update-one.vercel.app/equipment/centrifuge/misc-and-hydraulic-centrifuge/" TargetMode="External"/><Relationship Id="rId15" Type="http://schemas.openxmlformats.org/officeDocument/2006/relationships/hyperlink" Target="https://international-process-plants-update-one.vercel.app/equipment/centrifuge/pusher-centrifuge/" TargetMode="External"/><Relationship Id="rId23" Type="http://schemas.openxmlformats.org/officeDocument/2006/relationships/hyperlink" Target="https://ims.internationalprocessplants.com/inventory/search/equipment/flash-dryer" TargetMode="External"/><Relationship Id="rId28" Type="http://schemas.openxmlformats.org/officeDocument/2006/relationships/hyperlink" Target="https://internationalprocessplants.com/process-equipment/dryer/shelf-dryer/" TargetMode="External"/><Relationship Id="rId36" Type="http://schemas.openxmlformats.org/officeDocument/2006/relationships/hyperlink" Target="https://internationalprocessplants.com/process-equipment/dryer/pan-dryer/" TargetMode="External"/><Relationship Id="rId49" Type="http://schemas.openxmlformats.org/officeDocument/2006/relationships/hyperlink" Target="https://ims.internationalprocessplants.com/inventory/search/equipment/heat-exchanger/block" TargetMode="External"/><Relationship Id="rId57" Type="http://schemas.openxmlformats.org/officeDocument/2006/relationships/hyperlink" Target="https://internationalprocessplants.com/process-equipment/homogenizer/" TargetMode="External"/><Relationship Id="rId10" Type="http://schemas.openxmlformats.org/officeDocument/2006/relationships/hyperlink" Target="https://internationalprocessplants.com/process-equipment/centrifuge/pusher-centrifuge-parts/" TargetMode="External"/><Relationship Id="rId31" Type="http://schemas.openxmlformats.org/officeDocument/2006/relationships/hyperlink" Target="https://ims.internationalprocessplants.com/inventory/search/equipment/thin-film-dryer" TargetMode="External"/><Relationship Id="rId44" Type="http://schemas.openxmlformats.org/officeDocument/2006/relationships/hyperlink" Target="https://internationalprocessplants.com/process-equipment/dryer/refrigerant-heat/" TargetMode="External"/><Relationship Id="rId52" Type="http://schemas.openxmlformats.org/officeDocument/2006/relationships/hyperlink" Target="https://international-process-plants-update-one.vercel.app/equipment/heat-exchanger/plate-and-frame/" TargetMode="External"/><Relationship Id="rId60" Type="http://schemas.openxmlformats.org/officeDocument/2006/relationships/hyperlink" Target="https://ims.internationalprocessplants.com/inventory/search/equipment/incinerator" TargetMode="External"/><Relationship Id="rId65" Type="http://schemas.openxmlformats.org/officeDocument/2006/relationships/hyperlink" Target="https://internationalprocessplants.com/process-equipment/mill/ball/" TargetMode="External"/><Relationship Id="rId73" Type="http://schemas.openxmlformats.org/officeDocument/2006/relationships/hyperlink" Target="https://internationalprocessplants.com/process-equipment/mill/pellet/" TargetMode="External"/><Relationship Id="rId78" Type="http://schemas.openxmlformats.org/officeDocument/2006/relationships/hyperlink" Target="https://ims.internationalprocessplants.com/inventory/search/equipment/mill/shot-and-sand" TargetMode="External"/><Relationship Id="rId81" Type="http://schemas.openxmlformats.org/officeDocument/2006/relationships/hyperlink" Target="https://internationalprocessplants.com/process-equipment/mixer/charge-can-and-pony-mixer/" TargetMode="External"/><Relationship Id="rId86" Type="http://schemas.openxmlformats.org/officeDocument/2006/relationships/hyperlink" Target="https://ims.internationalprocessplants.com/inventory/search/equipment/munson-rotary-mixer" TargetMode="External"/><Relationship Id="rId4" Type="http://schemas.openxmlformats.org/officeDocument/2006/relationships/hyperlink" Target="https://internationalprocessplants.com/process-equipment/centrifuge/misc-and-hydraulic-centrifuge/" TargetMode="External"/><Relationship Id="rId9" Type="http://schemas.openxmlformats.org/officeDocument/2006/relationships/hyperlink" Target="https://international-process-plants-update-one.vercel.app/equipment/centrifuge/peeler-centrifuge/" TargetMode="External"/><Relationship Id="rId13" Type="http://schemas.openxmlformats.org/officeDocument/2006/relationships/hyperlink" Target="https://internationalprocessplants.com/process-equipment/centrifuge/pusher-centrifuge/" TargetMode="External"/><Relationship Id="rId18" Type="http://schemas.openxmlformats.org/officeDocument/2006/relationships/hyperlink" Target="https://internationalprocessplants.com/process-equipment/dryer/nauta-dryer/" TargetMode="External"/><Relationship Id="rId39" Type="http://schemas.openxmlformats.org/officeDocument/2006/relationships/hyperlink" Target="https://ims.internationalprocessplants.com/inventory/search/equipment/oven-dryer" TargetMode="External"/><Relationship Id="rId34" Type="http://schemas.openxmlformats.org/officeDocument/2006/relationships/hyperlink" Target="https://internationalprocessplants.com/process-equipment/dryer/spherical-dryer/" TargetMode="External"/><Relationship Id="rId50" Type="http://schemas.openxmlformats.org/officeDocument/2006/relationships/hyperlink" Target="https://internationalprocessplants.com/process-equipment/heat-exchanger/plate-and-frame/" TargetMode="External"/><Relationship Id="rId55" Type="http://schemas.openxmlformats.org/officeDocument/2006/relationships/hyperlink" Target="https://internationalprocessplants.com/process-equipment/heat-exchanger/welded-plate/" TargetMode="External"/><Relationship Id="rId76" Type="http://schemas.openxmlformats.org/officeDocument/2006/relationships/hyperlink" Target="https://ims.internationalprocessplants.com/inventory/search/equipment/mill/roll" TargetMode="External"/><Relationship Id="rId7" Type="http://schemas.openxmlformats.org/officeDocument/2006/relationships/hyperlink" Target="https://internationalprocessplants.com/process-equipment/centrifuge/peeler-centrifuge/" TargetMode="External"/><Relationship Id="rId71" Type="http://schemas.openxmlformats.org/officeDocument/2006/relationships/hyperlink" Target="https://internationalprocessplants.com/process-equipment/mill/pebble/" TargetMode="External"/><Relationship Id="rId2" Type="http://schemas.openxmlformats.org/officeDocument/2006/relationships/hyperlink" Target="https://ims.internationalprocessplants.com/inventory/search/equipment/lab-centrifuge" TargetMode="External"/><Relationship Id="rId29" Type="http://schemas.openxmlformats.org/officeDocument/2006/relationships/hyperlink" Target="https://ims.internationalprocessplants.com/inventory/search/equipment/shelf-dryer" TargetMode="External"/><Relationship Id="rId24" Type="http://schemas.openxmlformats.org/officeDocument/2006/relationships/hyperlink" Target="https://internationalprocessplants.com/process-equipment/dryer/porcupine-dryer-parts/" TargetMode="External"/><Relationship Id="rId40" Type="http://schemas.openxmlformats.org/officeDocument/2006/relationships/hyperlink" Target="https://internationalprocessplants.com/process-equipment/dryer/flaker-drum-and-belt-dryer/" TargetMode="External"/><Relationship Id="rId45" Type="http://schemas.openxmlformats.org/officeDocument/2006/relationships/hyperlink" Target="https://ims.internationalprocessplants.com/inventory/search/equipment/air-dryer/refrigerant-heat" TargetMode="External"/><Relationship Id="rId66" Type="http://schemas.openxmlformats.org/officeDocument/2006/relationships/hyperlink" Target="https://ims.internationalprocessplants.com/inventory/search/equipment/mill/ball" TargetMode="External"/><Relationship Id="rId61" Type="http://schemas.openxmlformats.org/officeDocument/2006/relationships/hyperlink" Target="https://internationalprocessplants.com/process-equipment/kettle/" TargetMode="External"/><Relationship Id="rId82" Type="http://schemas.openxmlformats.org/officeDocument/2006/relationships/hyperlink" Target="https://ims.internationalprocessplants.com/inventory/search/equipment/charge-can-and-pony-mix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4"/>
  <sheetViews>
    <sheetView tabSelected="1" workbookViewId="0">
      <pane xSplit="5" ySplit="4" topLeftCell="F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customWidth="1"/>
    <col min="2" max="2" width="7" customWidth="1"/>
    <col min="3" max="3" width="22" customWidth="1"/>
    <col min="4" max="4" width="13" customWidth="1"/>
    <col min="5" max="5" width="26" customWidth="1"/>
    <col min="6" max="7" width="44" customWidth="1"/>
    <col min="8" max="8" width="10" customWidth="1"/>
    <col min="9" max="10" width="9" customWidth="1"/>
    <col min="11" max="11" width="24" customWidth="1"/>
    <col min="12" max="12" width="10" customWidth="1"/>
    <col min="13" max="19" width="13" customWidth="1"/>
    <col min="20" max="20" width="18" customWidth="1"/>
    <col min="21" max="21" width="15" customWidth="1"/>
    <col min="22" max="23" width="44" customWidth="1"/>
    <col min="24" max="24" width="11" customWidth="1"/>
    <col min="25" max="25" width="60" customWidth="1"/>
  </cols>
  <sheetData>
    <row r="1" spans="1:25" ht="18" x14ac:dyDescent="0.25">
      <c r="A1" s="1" t="s">
        <v>0</v>
      </c>
    </row>
    <row r="2" spans="1:25" ht="27.95" customHeight="1" x14ac:dyDescent="0.25">
      <c r="A2" s="16" t="s">
        <v>1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</row>
    <row r="4" spans="1:25" ht="42" customHeight="1" x14ac:dyDescent="0.25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  <c r="N4" s="2" t="s">
        <v>15</v>
      </c>
      <c r="O4" s="2" t="s">
        <v>16</v>
      </c>
      <c r="P4" s="2" t="s">
        <v>17</v>
      </c>
      <c r="Q4" s="2" t="s">
        <v>18</v>
      </c>
      <c r="R4" s="2" t="s">
        <v>19</v>
      </c>
      <c r="S4" s="2" t="s">
        <v>20</v>
      </c>
      <c r="T4" s="2" t="s">
        <v>21</v>
      </c>
      <c r="U4" s="2" t="s">
        <v>22</v>
      </c>
      <c r="V4" s="2" t="s">
        <v>23</v>
      </c>
      <c r="W4" s="2" t="s">
        <v>24</v>
      </c>
      <c r="X4" s="2" t="s">
        <v>25</v>
      </c>
      <c r="Y4" s="2" t="s">
        <v>26</v>
      </c>
    </row>
    <row r="5" spans="1:25" ht="63.75" x14ac:dyDescent="0.25">
      <c r="A5" s="3" t="s">
        <v>27</v>
      </c>
      <c r="B5" s="3">
        <v>1</v>
      </c>
      <c r="C5" s="4" t="s">
        <v>28</v>
      </c>
      <c r="D5" s="4"/>
      <c r="E5" s="4" t="s">
        <v>29</v>
      </c>
      <c r="F5" s="5" t="s">
        <v>30</v>
      </c>
      <c r="G5" s="5" t="s">
        <v>31</v>
      </c>
      <c r="H5" s="3">
        <v>5</v>
      </c>
      <c r="I5" s="3">
        <v>5</v>
      </c>
      <c r="J5" s="3">
        <v>5</v>
      </c>
      <c r="K5" s="4" t="s">
        <v>32</v>
      </c>
      <c r="L5" s="3">
        <v>800</v>
      </c>
      <c r="M5" s="3" t="s">
        <v>33</v>
      </c>
      <c r="N5" s="3" t="s">
        <v>33</v>
      </c>
      <c r="O5" s="3" t="s">
        <v>33</v>
      </c>
      <c r="P5" s="3" t="s">
        <v>33</v>
      </c>
      <c r="Q5" s="3" t="s">
        <v>33</v>
      </c>
      <c r="R5" s="3" t="s">
        <v>33</v>
      </c>
      <c r="S5" s="3" t="s">
        <v>33</v>
      </c>
      <c r="T5" s="6" t="str">
        <f t="shared" ref="T5:T44" si="0">IF(COUNTIF(M5:S5,"Done")+COUNTIF(M5:S5,"N/A")=7,"Ready for client review",IF(COUNTIF(M5:S5,"Blocked")&gt;0,"Blocked",IF(COUNTIF(M5:S5,"Not started")=7,"Not started","In progress")))</f>
        <v>Ready for client review</v>
      </c>
      <c r="U5" s="7" t="s">
        <v>34</v>
      </c>
      <c r="V5" s="5" t="s">
        <v>35</v>
      </c>
      <c r="W5" s="4" t="s">
        <v>36</v>
      </c>
      <c r="X5" s="4" t="s">
        <v>37</v>
      </c>
      <c r="Y5" s="7" t="s">
        <v>38</v>
      </c>
    </row>
    <row r="6" spans="1:25" ht="51" x14ac:dyDescent="0.25">
      <c r="A6" s="3" t="s">
        <v>39</v>
      </c>
      <c r="B6" s="3">
        <v>1</v>
      </c>
      <c r="C6" s="4" t="s">
        <v>40</v>
      </c>
      <c r="D6" s="4"/>
      <c r="E6" s="4" t="s">
        <v>41</v>
      </c>
      <c r="F6" s="5" t="s">
        <v>42</v>
      </c>
      <c r="G6" s="5" t="s">
        <v>43</v>
      </c>
      <c r="H6" s="3">
        <v>38</v>
      </c>
      <c r="I6" s="3">
        <v>38</v>
      </c>
      <c r="J6" s="3">
        <v>35</v>
      </c>
      <c r="K6" s="4" t="s">
        <v>44</v>
      </c>
      <c r="L6" s="3">
        <v>70</v>
      </c>
      <c r="M6" s="3" t="s">
        <v>33</v>
      </c>
      <c r="N6" s="3" t="s">
        <v>33</v>
      </c>
      <c r="O6" s="3" t="s">
        <v>33</v>
      </c>
      <c r="P6" s="3" t="s">
        <v>33</v>
      </c>
      <c r="Q6" s="3" t="s">
        <v>33</v>
      </c>
      <c r="R6" s="3" t="s">
        <v>33</v>
      </c>
      <c r="S6" s="3" t="s">
        <v>33</v>
      </c>
      <c r="T6" s="6" t="str">
        <f t="shared" si="0"/>
        <v>Ready for client review</v>
      </c>
      <c r="U6" s="7" t="s">
        <v>34</v>
      </c>
      <c r="V6" s="5" t="s">
        <v>45</v>
      </c>
      <c r="W6" s="4" t="s">
        <v>46</v>
      </c>
      <c r="X6" s="4" t="s">
        <v>37</v>
      </c>
      <c r="Y6" s="7" t="s">
        <v>47</v>
      </c>
    </row>
    <row r="7" spans="1:25" ht="38.25" x14ac:dyDescent="0.25">
      <c r="A7" s="3" t="s">
        <v>48</v>
      </c>
      <c r="B7" s="3">
        <v>1</v>
      </c>
      <c r="C7" s="4" t="s">
        <v>49</v>
      </c>
      <c r="D7" s="4"/>
      <c r="E7" s="4" t="s">
        <v>50</v>
      </c>
      <c r="F7" s="5" t="s">
        <v>51</v>
      </c>
      <c r="G7" s="5" t="s">
        <v>52</v>
      </c>
      <c r="H7" s="3">
        <v>49</v>
      </c>
      <c r="I7" s="3">
        <v>49</v>
      </c>
      <c r="J7" s="3">
        <v>49</v>
      </c>
      <c r="K7" s="4" t="s">
        <v>53</v>
      </c>
      <c r="L7" s="3">
        <v>150</v>
      </c>
      <c r="M7" s="3" t="s">
        <v>33</v>
      </c>
      <c r="N7" s="3" t="s">
        <v>33</v>
      </c>
      <c r="O7" s="3" t="s">
        <v>33</v>
      </c>
      <c r="P7" s="3" t="s">
        <v>33</v>
      </c>
      <c r="Q7" s="3" t="s">
        <v>33</v>
      </c>
      <c r="R7" s="3" t="s">
        <v>33</v>
      </c>
      <c r="S7" s="3" t="s">
        <v>33</v>
      </c>
      <c r="T7" s="6" t="str">
        <f t="shared" si="0"/>
        <v>Ready for client review</v>
      </c>
      <c r="U7" s="7" t="s">
        <v>34</v>
      </c>
      <c r="V7" s="5" t="s">
        <v>54</v>
      </c>
      <c r="W7" s="4" t="s">
        <v>55</v>
      </c>
      <c r="X7" s="4" t="s">
        <v>37</v>
      </c>
      <c r="Y7" s="7" t="s">
        <v>56</v>
      </c>
    </row>
    <row r="8" spans="1:25" ht="51" x14ac:dyDescent="0.25">
      <c r="A8" s="3" t="s">
        <v>57</v>
      </c>
      <c r="B8" s="3">
        <v>1</v>
      </c>
      <c r="C8" s="4" t="s">
        <v>58</v>
      </c>
      <c r="D8" s="4" t="s">
        <v>59</v>
      </c>
      <c r="E8" s="4" t="s">
        <v>60</v>
      </c>
      <c r="F8" s="5" t="s">
        <v>61</v>
      </c>
      <c r="G8" s="5" t="s">
        <v>62</v>
      </c>
      <c r="H8" s="3">
        <v>21</v>
      </c>
      <c r="I8" s="3">
        <v>21</v>
      </c>
      <c r="J8" s="3">
        <v>1</v>
      </c>
      <c r="K8" s="4" t="s">
        <v>63</v>
      </c>
      <c r="L8" s="3">
        <v>40</v>
      </c>
      <c r="M8" s="3" t="s">
        <v>33</v>
      </c>
      <c r="N8" s="3" t="s">
        <v>33</v>
      </c>
      <c r="O8" s="3" t="s">
        <v>33</v>
      </c>
      <c r="P8" s="3" t="s">
        <v>33</v>
      </c>
      <c r="Q8" s="3" t="s">
        <v>33</v>
      </c>
      <c r="R8" s="3" t="s">
        <v>33</v>
      </c>
      <c r="S8" s="3" t="s">
        <v>33</v>
      </c>
      <c r="T8" s="6" t="str">
        <f t="shared" si="0"/>
        <v>Ready for client review</v>
      </c>
      <c r="U8" s="7" t="s">
        <v>34</v>
      </c>
      <c r="V8" s="5" t="s">
        <v>64</v>
      </c>
      <c r="W8" s="4" t="s">
        <v>65</v>
      </c>
      <c r="X8" s="4" t="s">
        <v>37</v>
      </c>
      <c r="Y8" s="7" t="s">
        <v>66</v>
      </c>
    </row>
    <row r="9" spans="1:25" ht="38.25" x14ac:dyDescent="0.25">
      <c r="A9" s="3" t="s">
        <v>67</v>
      </c>
      <c r="B9" s="3">
        <v>1</v>
      </c>
      <c r="C9" s="4" t="s">
        <v>58</v>
      </c>
      <c r="D9" s="4"/>
      <c r="E9" s="4" t="s">
        <v>68</v>
      </c>
      <c r="F9" s="5" t="s">
        <v>69</v>
      </c>
      <c r="G9" s="5" t="s">
        <v>70</v>
      </c>
      <c r="H9" s="3">
        <v>47</v>
      </c>
      <c r="I9" s="3">
        <v>26</v>
      </c>
      <c r="J9" s="3">
        <v>26</v>
      </c>
      <c r="K9" s="4" t="s">
        <v>71</v>
      </c>
      <c r="L9" s="3">
        <v>150</v>
      </c>
      <c r="M9" s="3" t="s">
        <v>33</v>
      </c>
      <c r="N9" s="3" t="s">
        <v>33</v>
      </c>
      <c r="O9" s="3" t="s">
        <v>33</v>
      </c>
      <c r="P9" s="3" t="s">
        <v>33</v>
      </c>
      <c r="Q9" s="3" t="s">
        <v>33</v>
      </c>
      <c r="R9" s="3" t="s">
        <v>33</v>
      </c>
      <c r="S9" s="3" t="s">
        <v>33</v>
      </c>
      <c r="T9" s="6" t="str">
        <f t="shared" si="0"/>
        <v>Ready for client review</v>
      </c>
      <c r="U9" s="7" t="s">
        <v>34</v>
      </c>
      <c r="V9" s="5" t="s">
        <v>72</v>
      </c>
      <c r="W9" s="4" t="s">
        <v>73</v>
      </c>
      <c r="X9" s="4" t="s">
        <v>37</v>
      </c>
      <c r="Y9" s="7" t="s">
        <v>74</v>
      </c>
    </row>
    <row r="10" spans="1:25" ht="38.25" x14ac:dyDescent="0.25">
      <c r="A10" s="3" t="s">
        <v>75</v>
      </c>
      <c r="B10" s="3">
        <v>2</v>
      </c>
      <c r="C10" s="4" t="s">
        <v>76</v>
      </c>
      <c r="D10" s="4" t="s">
        <v>59</v>
      </c>
      <c r="E10" s="4" t="s">
        <v>77</v>
      </c>
      <c r="F10" s="5" t="s">
        <v>78</v>
      </c>
      <c r="G10" s="5" t="s">
        <v>79</v>
      </c>
      <c r="H10" s="3">
        <v>7</v>
      </c>
      <c r="I10" s="3"/>
      <c r="J10" s="3"/>
      <c r="K10" s="4"/>
      <c r="L10" s="3"/>
      <c r="M10" s="3" t="s">
        <v>80</v>
      </c>
      <c r="N10" s="3" t="s">
        <v>80</v>
      </c>
      <c r="O10" s="3" t="s">
        <v>80</v>
      </c>
      <c r="P10" s="3" t="s">
        <v>80</v>
      </c>
      <c r="Q10" s="3" t="s">
        <v>80</v>
      </c>
      <c r="R10" s="3" t="s">
        <v>80</v>
      </c>
      <c r="S10" s="3" t="s">
        <v>80</v>
      </c>
      <c r="T10" s="6" t="str">
        <f t="shared" si="0"/>
        <v>Not started</v>
      </c>
      <c r="U10" s="7" t="s">
        <v>34</v>
      </c>
      <c r="V10" s="4"/>
      <c r="W10" s="4" t="s">
        <v>81</v>
      </c>
      <c r="X10" s="4"/>
      <c r="Y10" s="7" t="s">
        <v>82</v>
      </c>
    </row>
    <row r="11" spans="1:25" ht="25.5" x14ac:dyDescent="0.25">
      <c r="A11" s="3" t="s">
        <v>83</v>
      </c>
      <c r="B11" s="3">
        <v>2</v>
      </c>
      <c r="C11" s="4" t="s">
        <v>84</v>
      </c>
      <c r="D11" s="4"/>
      <c r="E11" s="4" t="s">
        <v>85</v>
      </c>
      <c r="F11" s="5" t="s">
        <v>86</v>
      </c>
      <c r="G11" s="5" t="s">
        <v>87</v>
      </c>
      <c r="H11" s="3">
        <v>11</v>
      </c>
      <c r="I11" s="3"/>
      <c r="J11" s="3"/>
      <c r="K11" s="4"/>
      <c r="L11" s="3"/>
      <c r="M11" s="3" t="s">
        <v>80</v>
      </c>
      <c r="N11" s="3" t="s">
        <v>80</v>
      </c>
      <c r="O11" s="3" t="s">
        <v>80</v>
      </c>
      <c r="P11" s="3" t="s">
        <v>80</v>
      </c>
      <c r="Q11" s="3" t="s">
        <v>80</v>
      </c>
      <c r="R11" s="3" t="s">
        <v>80</v>
      </c>
      <c r="S11" s="3" t="s">
        <v>80</v>
      </c>
      <c r="T11" s="6" t="str">
        <f t="shared" si="0"/>
        <v>Not started</v>
      </c>
      <c r="U11" s="7" t="s">
        <v>34</v>
      </c>
      <c r="V11" s="4"/>
      <c r="W11" s="4" t="s">
        <v>88</v>
      </c>
      <c r="X11" s="4"/>
      <c r="Y11" s="7"/>
    </row>
    <row r="12" spans="1:25" ht="25.5" x14ac:dyDescent="0.25">
      <c r="A12" s="3" t="s">
        <v>89</v>
      </c>
      <c r="B12" s="3">
        <v>2</v>
      </c>
      <c r="C12" s="4" t="s">
        <v>90</v>
      </c>
      <c r="D12" s="4"/>
      <c r="E12" s="4" t="s">
        <v>91</v>
      </c>
      <c r="F12" s="5" t="s">
        <v>92</v>
      </c>
      <c r="G12" s="5" t="s">
        <v>93</v>
      </c>
      <c r="H12" s="3">
        <v>16</v>
      </c>
      <c r="I12" s="3"/>
      <c r="J12" s="3"/>
      <c r="K12" s="4"/>
      <c r="L12" s="3"/>
      <c r="M12" s="3" t="s">
        <v>80</v>
      </c>
      <c r="N12" s="3" t="s">
        <v>80</v>
      </c>
      <c r="O12" s="3" t="s">
        <v>80</v>
      </c>
      <c r="P12" s="3" t="s">
        <v>80</v>
      </c>
      <c r="Q12" s="3" t="s">
        <v>80</v>
      </c>
      <c r="R12" s="3" t="s">
        <v>80</v>
      </c>
      <c r="S12" s="3" t="s">
        <v>80</v>
      </c>
      <c r="T12" s="6" t="str">
        <f t="shared" si="0"/>
        <v>Not started</v>
      </c>
      <c r="U12" s="7" t="s">
        <v>34</v>
      </c>
      <c r="V12" s="4"/>
      <c r="W12" s="4" t="s">
        <v>94</v>
      </c>
      <c r="X12" s="4"/>
      <c r="Y12" s="7"/>
    </row>
    <row r="13" spans="1:25" ht="25.5" x14ac:dyDescent="0.25">
      <c r="A13" s="3" t="s">
        <v>95</v>
      </c>
      <c r="B13" s="3">
        <v>2</v>
      </c>
      <c r="C13" s="4" t="s">
        <v>96</v>
      </c>
      <c r="D13" s="4"/>
      <c r="E13" s="4" t="s">
        <v>97</v>
      </c>
      <c r="F13" s="5" t="s">
        <v>98</v>
      </c>
      <c r="G13" s="5" t="s">
        <v>99</v>
      </c>
      <c r="H13" s="3">
        <v>4</v>
      </c>
      <c r="I13" s="3"/>
      <c r="J13" s="3"/>
      <c r="K13" s="4"/>
      <c r="L13" s="3"/>
      <c r="M13" s="3" t="s">
        <v>80</v>
      </c>
      <c r="N13" s="3" t="s">
        <v>80</v>
      </c>
      <c r="O13" s="3" t="s">
        <v>80</v>
      </c>
      <c r="P13" s="3" t="s">
        <v>80</v>
      </c>
      <c r="Q13" s="3" t="s">
        <v>80</v>
      </c>
      <c r="R13" s="3" t="s">
        <v>80</v>
      </c>
      <c r="S13" s="3" t="s">
        <v>80</v>
      </c>
      <c r="T13" s="6" t="str">
        <f t="shared" si="0"/>
        <v>Not started</v>
      </c>
      <c r="U13" s="7" t="s">
        <v>34</v>
      </c>
      <c r="V13" s="4"/>
      <c r="W13" s="4" t="s">
        <v>100</v>
      </c>
      <c r="X13" s="4"/>
      <c r="Y13" s="7" t="s">
        <v>101</v>
      </c>
    </row>
    <row r="14" spans="1:25" ht="25.5" x14ac:dyDescent="0.25">
      <c r="A14" s="3" t="s">
        <v>102</v>
      </c>
      <c r="B14" s="3">
        <v>2</v>
      </c>
      <c r="C14" s="4" t="s">
        <v>103</v>
      </c>
      <c r="D14" s="4" t="s">
        <v>104</v>
      </c>
      <c r="E14" s="4" t="s">
        <v>105</v>
      </c>
      <c r="F14" s="5" t="s">
        <v>106</v>
      </c>
      <c r="G14" s="5" t="s">
        <v>107</v>
      </c>
      <c r="H14" s="3">
        <v>4</v>
      </c>
      <c r="I14" s="3"/>
      <c r="J14" s="3"/>
      <c r="K14" s="4"/>
      <c r="L14" s="3"/>
      <c r="M14" s="3" t="s">
        <v>80</v>
      </c>
      <c r="N14" s="3" t="s">
        <v>80</v>
      </c>
      <c r="O14" s="3" t="s">
        <v>80</v>
      </c>
      <c r="P14" s="3" t="s">
        <v>80</v>
      </c>
      <c r="Q14" s="3" t="s">
        <v>80</v>
      </c>
      <c r="R14" s="3" t="s">
        <v>80</v>
      </c>
      <c r="S14" s="3" t="s">
        <v>80</v>
      </c>
      <c r="T14" s="6" t="str">
        <f t="shared" si="0"/>
        <v>Not started</v>
      </c>
      <c r="U14" s="7" t="s">
        <v>34</v>
      </c>
      <c r="V14" s="4"/>
      <c r="W14" s="4" t="s">
        <v>108</v>
      </c>
      <c r="X14" s="4"/>
      <c r="Y14" s="7" t="s">
        <v>109</v>
      </c>
    </row>
    <row r="15" spans="1:25" ht="25.5" x14ac:dyDescent="0.25">
      <c r="A15" s="3" t="s">
        <v>110</v>
      </c>
      <c r="B15" s="3">
        <v>3</v>
      </c>
      <c r="C15" s="4" t="s">
        <v>111</v>
      </c>
      <c r="D15" s="4"/>
      <c r="E15" s="4" t="s">
        <v>112</v>
      </c>
      <c r="F15" s="5" t="s">
        <v>113</v>
      </c>
      <c r="G15" s="5" t="s">
        <v>114</v>
      </c>
      <c r="H15" s="3">
        <v>4</v>
      </c>
      <c r="I15" s="3"/>
      <c r="J15" s="3"/>
      <c r="K15" s="4"/>
      <c r="L15" s="3"/>
      <c r="M15" s="3" t="s">
        <v>80</v>
      </c>
      <c r="N15" s="3" t="s">
        <v>80</v>
      </c>
      <c r="O15" s="3" t="s">
        <v>80</v>
      </c>
      <c r="P15" s="3" t="s">
        <v>80</v>
      </c>
      <c r="Q15" s="3" t="s">
        <v>80</v>
      </c>
      <c r="R15" s="3" t="s">
        <v>80</v>
      </c>
      <c r="S15" s="3" t="s">
        <v>80</v>
      </c>
      <c r="T15" s="6" t="str">
        <f t="shared" si="0"/>
        <v>Not started</v>
      </c>
      <c r="U15" s="7" t="s">
        <v>34</v>
      </c>
      <c r="V15" s="4"/>
      <c r="W15" s="4" t="s">
        <v>115</v>
      </c>
      <c r="X15" s="4"/>
      <c r="Y15" s="7" t="s">
        <v>101</v>
      </c>
    </row>
    <row r="16" spans="1:25" ht="25.5" x14ac:dyDescent="0.25">
      <c r="A16" s="3" t="s">
        <v>116</v>
      </c>
      <c r="B16" s="3">
        <v>3</v>
      </c>
      <c r="C16" s="4" t="s">
        <v>117</v>
      </c>
      <c r="D16" s="4"/>
      <c r="E16" s="4" t="s">
        <v>118</v>
      </c>
      <c r="F16" s="5" t="s">
        <v>119</v>
      </c>
      <c r="G16" s="5" t="s">
        <v>120</v>
      </c>
      <c r="H16" s="3">
        <v>32</v>
      </c>
      <c r="I16" s="3"/>
      <c r="J16" s="3"/>
      <c r="K16" s="4"/>
      <c r="L16" s="3"/>
      <c r="M16" s="3" t="s">
        <v>80</v>
      </c>
      <c r="N16" s="3" t="s">
        <v>80</v>
      </c>
      <c r="O16" s="3" t="s">
        <v>80</v>
      </c>
      <c r="P16" s="3" t="s">
        <v>80</v>
      </c>
      <c r="Q16" s="3" t="s">
        <v>80</v>
      </c>
      <c r="R16" s="3" t="s">
        <v>80</v>
      </c>
      <c r="S16" s="3" t="s">
        <v>80</v>
      </c>
      <c r="T16" s="6" t="str">
        <f t="shared" si="0"/>
        <v>Not started</v>
      </c>
      <c r="U16" s="7" t="s">
        <v>34</v>
      </c>
      <c r="V16" s="4"/>
      <c r="W16" s="4" t="s">
        <v>121</v>
      </c>
      <c r="X16" s="4"/>
      <c r="Y16" s="7" t="s">
        <v>122</v>
      </c>
    </row>
    <row r="17" spans="1:25" ht="25.5" x14ac:dyDescent="0.25">
      <c r="A17" s="3" t="s">
        <v>123</v>
      </c>
      <c r="B17" s="3">
        <v>3</v>
      </c>
      <c r="C17" s="4" t="s">
        <v>124</v>
      </c>
      <c r="D17" s="4"/>
      <c r="E17" s="4" t="s">
        <v>125</v>
      </c>
      <c r="F17" s="5" t="s">
        <v>126</v>
      </c>
      <c r="G17" s="5" t="s">
        <v>127</v>
      </c>
      <c r="H17" s="3">
        <v>15</v>
      </c>
      <c r="I17" s="3"/>
      <c r="J17" s="3"/>
      <c r="K17" s="4"/>
      <c r="L17" s="3"/>
      <c r="M17" s="3" t="s">
        <v>80</v>
      </c>
      <c r="N17" s="3" t="s">
        <v>80</v>
      </c>
      <c r="O17" s="3" t="s">
        <v>80</v>
      </c>
      <c r="P17" s="3" t="s">
        <v>80</v>
      </c>
      <c r="Q17" s="3" t="s">
        <v>80</v>
      </c>
      <c r="R17" s="3" t="s">
        <v>80</v>
      </c>
      <c r="S17" s="3" t="s">
        <v>80</v>
      </c>
      <c r="T17" s="6" t="str">
        <f t="shared" si="0"/>
        <v>Not started</v>
      </c>
      <c r="U17" s="7" t="s">
        <v>34</v>
      </c>
      <c r="V17" s="4"/>
      <c r="W17" s="4" t="s">
        <v>128</v>
      </c>
      <c r="X17" s="4"/>
      <c r="Y17" s="7"/>
    </row>
    <row r="18" spans="1:25" ht="25.5" x14ac:dyDescent="0.25">
      <c r="A18" s="3" t="s">
        <v>129</v>
      </c>
      <c r="B18" s="3">
        <v>3</v>
      </c>
      <c r="C18" s="4" t="s">
        <v>130</v>
      </c>
      <c r="D18" s="4"/>
      <c r="E18" s="4" t="s">
        <v>131</v>
      </c>
      <c r="F18" s="5" t="s">
        <v>132</v>
      </c>
      <c r="G18" s="5" t="s">
        <v>133</v>
      </c>
      <c r="H18" s="3">
        <v>8</v>
      </c>
      <c r="I18" s="3"/>
      <c r="J18" s="3"/>
      <c r="K18" s="4"/>
      <c r="L18" s="3"/>
      <c r="M18" s="3" t="s">
        <v>80</v>
      </c>
      <c r="N18" s="3" t="s">
        <v>80</v>
      </c>
      <c r="O18" s="3" t="s">
        <v>80</v>
      </c>
      <c r="P18" s="3" t="s">
        <v>80</v>
      </c>
      <c r="Q18" s="3" t="s">
        <v>80</v>
      </c>
      <c r="R18" s="3" t="s">
        <v>80</v>
      </c>
      <c r="S18" s="3" t="s">
        <v>80</v>
      </c>
      <c r="T18" s="6" t="str">
        <f t="shared" si="0"/>
        <v>Not started</v>
      </c>
      <c r="U18" s="7" t="s">
        <v>34</v>
      </c>
      <c r="V18" s="4"/>
      <c r="W18" s="4" t="s">
        <v>134</v>
      </c>
      <c r="X18" s="4"/>
      <c r="Y18" s="7"/>
    </row>
    <row r="19" spans="1:25" ht="25.5" x14ac:dyDescent="0.25">
      <c r="A19" s="3" t="s">
        <v>135</v>
      </c>
      <c r="B19" s="3">
        <v>3</v>
      </c>
      <c r="C19" s="4" t="s">
        <v>136</v>
      </c>
      <c r="D19" s="4"/>
      <c r="E19" s="4" t="s">
        <v>137</v>
      </c>
      <c r="F19" s="5" t="s">
        <v>138</v>
      </c>
      <c r="G19" s="5" t="s">
        <v>139</v>
      </c>
      <c r="H19" s="3">
        <v>3</v>
      </c>
      <c r="I19" s="3"/>
      <c r="J19" s="3"/>
      <c r="K19" s="4"/>
      <c r="L19" s="3"/>
      <c r="M19" s="3" t="s">
        <v>80</v>
      </c>
      <c r="N19" s="3" t="s">
        <v>80</v>
      </c>
      <c r="O19" s="3" t="s">
        <v>80</v>
      </c>
      <c r="P19" s="3" t="s">
        <v>80</v>
      </c>
      <c r="Q19" s="3" t="s">
        <v>80</v>
      </c>
      <c r="R19" s="3" t="s">
        <v>80</v>
      </c>
      <c r="S19" s="3" t="s">
        <v>80</v>
      </c>
      <c r="T19" s="6" t="str">
        <f t="shared" si="0"/>
        <v>Not started</v>
      </c>
      <c r="U19" s="7" t="s">
        <v>34</v>
      </c>
      <c r="V19" s="4"/>
      <c r="W19" s="4" t="s">
        <v>140</v>
      </c>
      <c r="X19" s="4"/>
      <c r="Y19" s="7" t="s">
        <v>141</v>
      </c>
    </row>
    <row r="20" spans="1:25" ht="25.5" x14ac:dyDescent="0.25">
      <c r="A20" s="3" t="s">
        <v>142</v>
      </c>
      <c r="B20" s="3">
        <v>4</v>
      </c>
      <c r="C20" s="4" t="s">
        <v>143</v>
      </c>
      <c r="D20" s="4"/>
      <c r="E20" s="4" t="s">
        <v>144</v>
      </c>
      <c r="F20" s="5" t="s">
        <v>145</v>
      </c>
      <c r="G20" s="5" t="s">
        <v>146</v>
      </c>
      <c r="H20" s="3">
        <v>7</v>
      </c>
      <c r="I20" s="3"/>
      <c r="J20" s="3"/>
      <c r="K20" s="4"/>
      <c r="L20" s="3"/>
      <c r="M20" s="3" t="s">
        <v>80</v>
      </c>
      <c r="N20" s="3" t="s">
        <v>80</v>
      </c>
      <c r="O20" s="3" t="s">
        <v>80</v>
      </c>
      <c r="P20" s="3" t="s">
        <v>80</v>
      </c>
      <c r="Q20" s="3" t="s">
        <v>80</v>
      </c>
      <c r="R20" s="3" t="s">
        <v>80</v>
      </c>
      <c r="S20" s="3" t="s">
        <v>80</v>
      </c>
      <c r="T20" s="6" t="str">
        <f t="shared" si="0"/>
        <v>Not started</v>
      </c>
      <c r="U20" s="7" t="s">
        <v>34</v>
      </c>
      <c r="V20" s="4"/>
      <c r="W20" s="4" t="s">
        <v>147</v>
      </c>
      <c r="X20" s="4"/>
      <c r="Y20" s="7"/>
    </row>
    <row r="21" spans="1:25" ht="25.5" x14ac:dyDescent="0.25">
      <c r="A21" s="3" t="s">
        <v>148</v>
      </c>
      <c r="B21" s="3">
        <v>4</v>
      </c>
      <c r="C21" s="4" t="s">
        <v>149</v>
      </c>
      <c r="D21" s="4"/>
      <c r="E21" s="4" t="s">
        <v>150</v>
      </c>
      <c r="F21" s="5" t="s">
        <v>151</v>
      </c>
      <c r="G21" s="5" t="s">
        <v>152</v>
      </c>
      <c r="H21" s="3">
        <v>11</v>
      </c>
      <c r="I21" s="3"/>
      <c r="J21" s="3"/>
      <c r="K21" s="4"/>
      <c r="L21" s="3"/>
      <c r="M21" s="3" t="s">
        <v>80</v>
      </c>
      <c r="N21" s="3" t="s">
        <v>80</v>
      </c>
      <c r="O21" s="3" t="s">
        <v>80</v>
      </c>
      <c r="P21" s="3" t="s">
        <v>80</v>
      </c>
      <c r="Q21" s="3" t="s">
        <v>80</v>
      </c>
      <c r="R21" s="3" t="s">
        <v>80</v>
      </c>
      <c r="S21" s="3" t="s">
        <v>80</v>
      </c>
      <c r="T21" s="6" t="str">
        <f t="shared" si="0"/>
        <v>Not started</v>
      </c>
      <c r="U21" s="7" t="s">
        <v>34</v>
      </c>
      <c r="V21" s="4"/>
      <c r="W21" s="4" t="s">
        <v>153</v>
      </c>
      <c r="X21" s="4"/>
      <c r="Y21" s="7"/>
    </row>
    <row r="22" spans="1:25" ht="38.25" x14ac:dyDescent="0.25">
      <c r="A22" s="3" t="s">
        <v>154</v>
      </c>
      <c r="B22" s="3">
        <v>4</v>
      </c>
      <c r="C22" s="4" t="s">
        <v>155</v>
      </c>
      <c r="D22" s="4"/>
      <c r="E22" s="4" t="s">
        <v>156</v>
      </c>
      <c r="F22" s="5" t="s">
        <v>157</v>
      </c>
      <c r="G22" s="5" t="s">
        <v>158</v>
      </c>
      <c r="H22" s="3">
        <v>24</v>
      </c>
      <c r="I22" s="3"/>
      <c r="J22" s="3"/>
      <c r="K22" s="4"/>
      <c r="L22" s="3"/>
      <c r="M22" s="3" t="s">
        <v>80</v>
      </c>
      <c r="N22" s="3" t="s">
        <v>80</v>
      </c>
      <c r="O22" s="3" t="s">
        <v>80</v>
      </c>
      <c r="P22" s="3" t="s">
        <v>80</v>
      </c>
      <c r="Q22" s="3" t="s">
        <v>80</v>
      </c>
      <c r="R22" s="3" t="s">
        <v>80</v>
      </c>
      <c r="S22" s="3" t="s">
        <v>80</v>
      </c>
      <c r="T22" s="6" t="str">
        <f t="shared" si="0"/>
        <v>Not started</v>
      </c>
      <c r="U22" s="7" t="s">
        <v>34</v>
      </c>
      <c r="V22" s="4"/>
      <c r="W22" s="4" t="s">
        <v>159</v>
      </c>
      <c r="X22" s="4"/>
      <c r="Y22" s="7"/>
    </row>
    <row r="23" spans="1:25" ht="25.5" x14ac:dyDescent="0.25">
      <c r="A23" s="3" t="s">
        <v>160</v>
      </c>
      <c r="B23" s="3">
        <v>4</v>
      </c>
      <c r="C23" s="4" t="s">
        <v>161</v>
      </c>
      <c r="D23" s="4" t="s">
        <v>162</v>
      </c>
      <c r="E23" s="4" t="s">
        <v>163</v>
      </c>
      <c r="F23" s="5" t="s">
        <v>164</v>
      </c>
      <c r="G23" s="5" t="s">
        <v>165</v>
      </c>
      <c r="H23" s="3">
        <v>4</v>
      </c>
      <c r="I23" s="3"/>
      <c r="J23" s="3"/>
      <c r="K23" s="4"/>
      <c r="L23" s="3"/>
      <c r="M23" s="3" t="s">
        <v>80</v>
      </c>
      <c r="N23" s="3" t="s">
        <v>80</v>
      </c>
      <c r="O23" s="3" t="s">
        <v>80</v>
      </c>
      <c r="P23" s="3" t="s">
        <v>80</v>
      </c>
      <c r="Q23" s="3" t="s">
        <v>80</v>
      </c>
      <c r="R23" s="3" t="s">
        <v>80</v>
      </c>
      <c r="S23" s="3" t="s">
        <v>80</v>
      </c>
      <c r="T23" s="6" t="str">
        <f t="shared" si="0"/>
        <v>Not started</v>
      </c>
      <c r="U23" s="7" t="s">
        <v>34</v>
      </c>
      <c r="V23" s="4"/>
      <c r="W23" s="4" t="s">
        <v>166</v>
      </c>
      <c r="X23" s="4"/>
      <c r="Y23" s="7" t="s">
        <v>101</v>
      </c>
    </row>
    <row r="24" spans="1:25" ht="25.5" x14ac:dyDescent="0.25">
      <c r="A24" s="3" t="s">
        <v>167</v>
      </c>
      <c r="B24" s="3">
        <v>4</v>
      </c>
      <c r="C24" s="4" t="s">
        <v>161</v>
      </c>
      <c r="D24" s="4" t="s">
        <v>168</v>
      </c>
      <c r="E24" s="4" t="s">
        <v>169</v>
      </c>
      <c r="F24" s="5" t="s">
        <v>170</v>
      </c>
      <c r="G24" s="5" t="s">
        <v>171</v>
      </c>
      <c r="H24" s="3">
        <v>12</v>
      </c>
      <c r="I24" s="3"/>
      <c r="J24" s="3"/>
      <c r="K24" s="4"/>
      <c r="L24" s="3"/>
      <c r="M24" s="3" t="s">
        <v>80</v>
      </c>
      <c r="N24" s="3" t="s">
        <v>80</v>
      </c>
      <c r="O24" s="3" t="s">
        <v>80</v>
      </c>
      <c r="P24" s="3" t="s">
        <v>80</v>
      </c>
      <c r="Q24" s="3" t="s">
        <v>80</v>
      </c>
      <c r="R24" s="3" t="s">
        <v>80</v>
      </c>
      <c r="S24" s="3" t="s">
        <v>80</v>
      </c>
      <c r="T24" s="6" t="str">
        <f t="shared" si="0"/>
        <v>Not started</v>
      </c>
      <c r="U24" s="7" t="s">
        <v>34</v>
      </c>
      <c r="V24" s="4"/>
      <c r="W24" s="4" t="s">
        <v>172</v>
      </c>
      <c r="X24" s="4"/>
      <c r="Y24" s="7"/>
    </row>
    <row r="25" spans="1:25" ht="25.5" x14ac:dyDescent="0.25">
      <c r="A25" s="3" t="s">
        <v>173</v>
      </c>
      <c r="B25" s="3">
        <v>5</v>
      </c>
      <c r="C25" s="4" t="s">
        <v>174</v>
      </c>
      <c r="D25" s="4" t="s">
        <v>175</v>
      </c>
      <c r="E25" s="4" t="s">
        <v>176</v>
      </c>
      <c r="F25" s="5" t="s">
        <v>177</v>
      </c>
      <c r="G25" s="5" t="s">
        <v>178</v>
      </c>
      <c r="H25" s="3">
        <v>5</v>
      </c>
      <c r="I25" s="3"/>
      <c r="J25" s="3"/>
      <c r="K25" s="4"/>
      <c r="L25" s="3"/>
      <c r="M25" s="3" t="s">
        <v>80</v>
      </c>
      <c r="N25" s="3" t="s">
        <v>80</v>
      </c>
      <c r="O25" s="3" t="s">
        <v>80</v>
      </c>
      <c r="P25" s="3" t="s">
        <v>80</v>
      </c>
      <c r="Q25" s="3" t="s">
        <v>80</v>
      </c>
      <c r="R25" s="3" t="s">
        <v>80</v>
      </c>
      <c r="S25" s="3" t="s">
        <v>80</v>
      </c>
      <c r="T25" s="6" t="str">
        <f t="shared" si="0"/>
        <v>Not started</v>
      </c>
      <c r="U25" s="7" t="s">
        <v>34</v>
      </c>
      <c r="V25" s="4"/>
      <c r="W25" s="4" t="s">
        <v>179</v>
      </c>
      <c r="X25" s="4"/>
      <c r="Y25" s="7" t="s">
        <v>180</v>
      </c>
    </row>
    <row r="26" spans="1:25" ht="25.5" x14ac:dyDescent="0.25">
      <c r="A26" s="3" t="s">
        <v>181</v>
      </c>
      <c r="B26" s="3">
        <v>5</v>
      </c>
      <c r="C26" s="4" t="s">
        <v>174</v>
      </c>
      <c r="D26" s="4" t="s">
        <v>182</v>
      </c>
      <c r="E26" s="4" t="s">
        <v>183</v>
      </c>
      <c r="F26" s="5" t="s">
        <v>184</v>
      </c>
      <c r="G26" s="5" t="s">
        <v>185</v>
      </c>
      <c r="H26" s="3">
        <v>94</v>
      </c>
      <c r="I26" s="3"/>
      <c r="J26" s="3"/>
      <c r="K26" s="4"/>
      <c r="L26" s="3"/>
      <c r="M26" s="3" t="s">
        <v>80</v>
      </c>
      <c r="N26" s="3" t="s">
        <v>80</v>
      </c>
      <c r="O26" s="3" t="s">
        <v>80</v>
      </c>
      <c r="P26" s="3" t="s">
        <v>80</v>
      </c>
      <c r="Q26" s="3" t="s">
        <v>80</v>
      </c>
      <c r="R26" s="3" t="s">
        <v>80</v>
      </c>
      <c r="S26" s="3" t="s">
        <v>80</v>
      </c>
      <c r="T26" s="6" t="str">
        <f t="shared" si="0"/>
        <v>Not started</v>
      </c>
      <c r="U26" s="7" t="s">
        <v>34</v>
      </c>
      <c r="V26" s="4"/>
      <c r="W26" s="4" t="s">
        <v>186</v>
      </c>
      <c r="X26" s="4"/>
      <c r="Y26" s="7"/>
    </row>
    <row r="27" spans="1:25" ht="38.25" x14ac:dyDescent="0.25">
      <c r="A27" s="3" t="s">
        <v>187</v>
      </c>
      <c r="B27" s="3">
        <v>0</v>
      </c>
      <c r="C27" s="4" t="s">
        <v>174</v>
      </c>
      <c r="D27" s="4" t="s">
        <v>188</v>
      </c>
      <c r="E27" s="4" t="s">
        <v>189</v>
      </c>
      <c r="F27" s="5" t="s">
        <v>190</v>
      </c>
      <c r="G27" s="5" t="s">
        <v>191</v>
      </c>
      <c r="H27" s="3">
        <v>161</v>
      </c>
      <c r="I27" s="3">
        <v>161</v>
      </c>
      <c r="J27" s="3">
        <v>148</v>
      </c>
      <c r="K27" s="4" t="s">
        <v>192</v>
      </c>
      <c r="L27" s="3">
        <v>1100</v>
      </c>
      <c r="M27" s="3" t="s">
        <v>33</v>
      </c>
      <c r="N27" s="3" t="s">
        <v>33</v>
      </c>
      <c r="O27" s="3" t="s">
        <v>33</v>
      </c>
      <c r="P27" s="3" t="s">
        <v>33</v>
      </c>
      <c r="Q27" s="3" t="s">
        <v>33</v>
      </c>
      <c r="R27" s="3" t="s">
        <v>33</v>
      </c>
      <c r="S27" s="3" t="s">
        <v>33</v>
      </c>
      <c r="T27" s="6" t="str">
        <f t="shared" si="0"/>
        <v>Ready for client review</v>
      </c>
      <c r="U27" s="7" t="s">
        <v>34</v>
      </c>
      <c r="V27" s="5" t="s">
        <v>193</v>
      </c>
      <c r="W27" s="4" t="s">
        <v>194</v>
      </c>
      <c r="X27" s="4" t="s">
        <v>195</v>
      </c>
      <c r="Y27" s="7" t="s">
        <v>196</v>
      </c>
    </row>
    <row r="28" spans="1:25" ht="25.5" x14ac:dyDescent="0.25">
      <c r="A28" s="3" t="s">
        <v>197</v>
      </c>
      <c r="B28" s="3">
        <v>5</v>
      </c>
      <c r="C28" s="4" t="s">
        <v>174</v>
      </c>
      <c r="D28" s="4" t="s">
        <v>198</v>
      </c>
      <c r="E28" s="4" t="s">
        <v>199</v>
      </c>
      <c r="F28" s="5" t="s">
        <v>200</v>
      </c>
      <c r="G28" s="5" t="s">
        <v>201</v>
      </c>
      <c r="H28" s="3">
        <v>67</v>
      </c>
      <c r="I28" s="3"/>
      <c r="J28" s="3"/>
      <c r="K28" s="4"/>
      <c r="L28" s="3"/>
      <c r="M28" s="3" t="s">
        <v>80</v>
      </c>
      <c r="N28" s="3" t="s">
        <v>80</v>
      </c>
      <c r="O28" s="3" t="s">
        <v>80</v>
      </c>
      <c r="P28" s="3" t="s">
        <v>80</v>
      </c>
      <c r="Q28" s="3" t="s">
        <v>80</v>
      </c>
      <c r="R28" s="3" t="s">
        <v>80</v>
      </c>
      <c r="S28" s="3" t="s">
        <v>80</v>
      </c>
      <c r="T28" s="6" t="str">
        <f t="shared" si="0"/>
        <v>Not started</v>
      </c>
      <c r="U28" s="7" t="s">
        <v>34</v>
      </c>
      <c r="V28" s="4"/>
      <c r="W28" s="4" t="s">
        <v>202</v>
      </c>
      <c r="X28" s="4"/>
      <c r="Y28" s="7"/>
    </row>
    <row r="29" spans="1:25" ht="25.5" x14ac:dyDescent="0.25">
      <c r="A29" s="3" t="s">
        <v>203</v>
      </c>
      <c r="B29" s="3">
        <v>5</v>
      </c>
      <c r="C29" s="4" t="s">
        <v>174</v>
      </c>
      <c r="D29" s="4" t="s">
        <v>204</v>
      </c>
      <c r="E29" s="4" t="s">
        <v>205</v>
      </c>
      <c r="F29" s="5" t="s">
        <v>206</v>
      </c>
      <c r="G29" s="5" t="s">
        <v>207</v>
      </c>
      <c r="H29" s="3">
        <v>31</v>
      </c>
      <c r="I29" s="3"/>
      <c r="J29" s="3"/>
      <c r="K29" s="4"/>
      <c r="L29" s="3"/>
      <c r="M29" s="3" t="s">
        <v>80</v>
      </c>
      <c r="N29" s="3" t="s">
        <v>80</v>
      </c>
      <c r="O29" s="3" t="s">
        <v>80</v>
      </c>
      <c r="P29" s="3" t="s">
        <v>80</v>
      </c>
      <c r="Q29" s="3" t="s">
        <v>80</v>
      </c>
      <c r="R29" s="3" t="s">
        <v>80</v>
      </c>
      <c r="S29" s="3" t="s">
        <v>80</v>
      </c>
      <c r="T29" s="6" t="str">
        <f t="shared" si="0"/>
        <v>Not started</v>
      </c>
      <c r="U29" s="7" t="s">
        <v>34</v>
      </c>
      <c r="V29" s="4"/>
      <c r="W29" s="4" t="s">
        <v>208</v>
      </c>
      <c r="X29" s="4"/>
      <c r="Y29" s="7"/>
    </row>
    <row r="30" spans="1:25" ht="25.5" x14ac:dyDescent="0.25">
      <c r="A30" s="3" t="s">
        <v>209</v>
      </c>
      <c r="B30" s="3">
        <v>5</v>
      </c>
      <c r="C30" s="4" t="s">
        <v>210</v>
      </c>
      <c r="D30" s="4"/>
      <c r="E30" s="4" t="s">
        <v>211</v>
      </c>
      <c r="F30" s="5" t="s">
        <v>212</v>
      </c>
      <c r="G30" s="5" t="s">
        <v>213</v>
      </c>
      <c r="H30" s="3">
        <v>5</v>
      </c>
      <c r="I30" s="3"/>
      <c r="J30" s="3"/>
      <c r="K30" s="4"/>
      <c r="L30" s="3"/>
      <c r="M30" s="3" t="s">
        <v>80</v>
      </c>
      <c r="N30" s="3" t="s">
        <v>80</v>
      </c>
      <c r="O30" s="3" t="s">
        <v>80</v>
      </c>
      <c r="P30" s="3" t="s">
        <v>80</v>
      </c>
      <c r="Q30" s="3" t="s">
        <v>80</v>
      </c>
      <c r="R30" s="3" t="s">
        <v>80</v>
      </c>
      <c r="S30" s="3" t="s">
        <v>80</v>
      </c>
      <c r="T30" s="6" t="str">
        <f t="shared" si="0"/>
        <v>Not started</v>
      </c>
      <c r="U30" s="7" t="s">
        <v>34</v>
      </c>
      <c r="V30" s="4"/>
      <c r="W30" s="4" t="s">
        <v>214</v>
      </c>
      <c r="X30" s="4"/>
      <c r="Y30" s="7" t="s">
        <v>180</v>
      </c>
    </row>
    <row r="31" spans="1:25" ht="25.5" x14ac:dyDescent="0.25">
      <c r="A31" s="3" t="s">
        <v>215</v>
      </c>
      <c r="B31" s="3">
        <v>6</v>
      </c>
      <c r="C31" s="4" t="s">
        <v>216</v>
      </c>
      <c r="D31" s="4"/>
      <c r="E31" s="4" t="s">
        <v>217</v>
      </c>
      <c r="F31" s="5" t="s">
        <v>218</v>
      </c>
      <c r="G31" s="5" t="s">
        <v>219</v>
      </c>
      <c r="H31" s="3">
        <v>1</v>
      </c>
      <c r="I31" s="3"/>
      <c r="J31" s="3"/>
      <c r="K31" s="4"/>
      <c r="L31" s="3"/>
      <c r="M31" s="3" t="s">
        <v>80</v>
      </c>
      <c r="N31" s="3" t="s">
        <v>80</v>
      </c>
      <c r="O31" s="3" t="s">
        <v>80</v>
      </c>
      <c r="P31" s="3" t="s">
        <v>80</v>
      </c>
      <c r="Q31" s="3" t="s">
        <v>80</v>
      </c>
      <c r="R31" s="3" t="s">
        <v>80</v>
      </c>
      <c r="S31" s="3" t="s">
        <v>80</v>
      </c>
      <c r="T31" s="6" t="str">
        <f t="shared" si="0"/>
        <v>Not started</v>
      </c>
      <c r="U31" s="7" t="s">
        <v>34</v>
      </c>
      <c r="V31" s="4"/>
      <c r="W31" s="4" t="s">
        <v>220</v>
      </c>
      <c r="X31" s="4"/>
      <c r="Y31" s="7" t="s">
        <v>221</v>
      </c>
    </row>
    <row r="32" spans="1:25" ht="25.5" x14ac:dyDescent="0.25">
      <c r="A32" s="3" t="s">
        <v>222</v>
      </c>
      <c r="B32" s="3">
        <v>6</v>
      </c>
      <c r="C32" s="4" t="s">
        <v>223</v>
      </c>
      <c r="D32" s="4"/>
      <c r="E32" s="4" t="s">
        <v>224</v>
      </c>
      <c r="F32" s="5" t="s">
        <v>225</v>
      </c>
      <c r="G32" s="5" t="s">
        <v>226</v>
      </c>
      <c r="H32" s="3">
        <v>2</v>
      </c>
      <c r="I32" s="3"/>
      <c r="J32" s="3"/>
      <c r="K32" s="4"/>
      <c r="L32" s="3"/>
      <c r="M32" s="3" t="s">
        <v>80</v>
      </c>
      <c r="N32" s="3" t="s">
        <v>80</v>
      </c>
      <c r="O32" s="3" t="s">
        <v>80</v>
      </c>
      <c r="P32" s="3" t="s">
        <v>80</v>
      </c>
      <c r="Q32" s="3" t="s">
        <v>80</v>
      </c>
      <c r="R32" s="3" t="s">
        <v>80</v>
      </c>
      <c r="S32" s="3" t="s">
        <v>80</v>
      </c>
      <c r="T32" s="6" t="str">
        <f t="shared" si="0"/>
        <v>Not started</v>
      </c>
      <c r="U32" s="7" t="s">
        <v>34</v>
      </c>
      <c r="V32" s="4"/>
      <c r="W32" s="4" t="s">
        <v>227</v>
      </c>
      <c r="X32" s="4"/>
      <c r="Y32" s="7" t="s">
        <v>228</v>
      </c>
    </row>
    <row r="33" spans="1:25" ht="25.5" x14ac:dyDescent="0.25">
      <c r="A33" s="3" t="s">
        <v>229</v>
      </c>
      <c r="B33" s="3">
        <v>6</v>
      </c>
      <c r="C33" s="4" t="s">
        <v>230</v>
      </c>
      <c r="D33" s="4"/>
      <c r="E33" s="4" t="s">
        <v>231</v>
      </c>
      <c r="F33" s="5" t="s">
        <v>232</v>
      </c>
      <c r="G33" s="5" t="s">
        <v>233</v>
      </c>
      <c r="H33" s="3">
        <v>2</v>
      </c>
      <c r="I33" s="3"/>
      <c r="J33" s="3"/>
      <c r="K33" s="4"/>
      <c r="L33" s="3"/>
      <c r="M33" s="3" t="s">
        <v>80</v>
      </c>
      <c r="N33" s="3" t="s">
        <v>80</v>
      </c>
      <c r="O33" s="3" t="s">
        <v>80</v>
      </c>
      <c r="P33" s="3" t="s">
        <v>80</v>
      </c>
      <c r="Q33" s="3" t="s">
        <v>80</v>
      </c>
      <c r="R33" s="3" t="s">
        <v>80</v>
      </c>
      <c r="S33" s="3" t="s">
        <v>80</v>
      </c>
      <c r="T33" s="6" t="str">
        <f t="shared" si="0"/>
        <v>Not started</v>
      </c>
      <c r="U33" s="7" t="s">
        <v>34</v>
      </c>
      <c r="V33" s="4"/>
      <c r="W33" s="4" t="s">
        <v>234</v>
      </c>
      <c r="X33" s="4"/>
      <c r="Y33" s="7" t="s">
        <v>228</v>
      </c>
    </row>
    <row r="34" spans="1:25" ht="25.5" x14ac:dyDescent="0.25">
      <c r="A34" s="3" t="s">
        <v>235</v>
      </c>
      <c r="B34" s="3">
        <v>6</v>
      </c>
      <c r="C34" s="4" t="s">
        <v>236</v>
      </c>
      <c r="D34" s="4" t="s">
        <v>237</v>
      </c>
      <c r="E34" s="4" t="s">
        <v>238</v>
      </c>
      <c r="F34" s="5" t="s">
        <v>239</v>
      </c>
      <c r="G34" s="5" t="s">
        <v>240</v>
      </c>
      <c r="H34" s="3">
        <v>8</v>
      </c>
      <c r="I34" s="3"/>
      <c r="J34" s="3"/>
      <c r="K34" s="4"/>
      <c r="L34" s="3"/>
      <c r="M34" s="3" t="s">
        <v>80</v>
      </c>
      <c r="N34" s="3" t="s">
        <v>80</v>
      </c>
      <c r="O34" s="3" t="s">
        <v>80</v>
      </c>
      <c r="P34" s="3" t="s">
        <v>80</v>
      </c>
      <c r="Q34" s="3" t="s">
        <v>80</v>
      </c>
      <c r="R34" s="3" t="s">
        <v>80</v>
      </c>
      <c r="S34" s="3" t="s">
        <v>80</v>
      </c>
      <c r="T34" s="6" t="str">
        <f t="shared" si="0"/>
        <v>Not started</v>
      </c>
      <c r="U34" s="7" t="s">
        <v>34</v>
      </c>
      <c r="V34" s="4"/>
      <c r="W34" s="4" t="s">
        <v>241</v>
      </c>
      <c r="X34" s="4"/>
      <c r="Y34" s="7"/>
    </row>
    <row r="35" spans="1:25" ht="25.5" x14ac:dyDescent="0.25">
      <c r="A35" s="3" t="s">
        <v>242</v>
      </c>
      <c r="B35" s="3">
        <v>6</v>
      </c>
      <c r="C35" s="4" t="s">
        <v>236</v>
      </c>
      <c r="D35" s="4" t="s">
        <v>243</v>
      </c>
      <c r="E35" s="4" t="s">
        <v>244</v>
      </c>
      <c r="F35" s="5" t="s">
        <v>245</v>
      </c>
      <c r="G35" s="5" t="s">
        <v>246</v>
      </c>
      <c r="H35" s="3">
        <v>14</v>
      </c>
      <c r="I35" s="3"/>
      <c r="J35" s="3"/>
      <c r="K35" s="4"/>
      <c r="L35" s="3"/>
      <c r="M35" s="3" t="s">
        <v>80</v>
      </c>
      <c r="N35" s="3" t="s">
        <v>80</v>
      </c>
      <c r="O35" s="3" t="s">
        <v>80</v>
      </c>
      <c r="P35" s="3" t="s">
        <v>80</v>
      </c>
      <c r="Q35" s="3" t="s">
        <v>80</v>
      </c>
      <c r="R35" s="3" t="s">
        <v>80</v>
      </c>
      <c r="S35" s="3" t="s">
        <v>80</v>
      </c>
      <c r="T35" s="6" t="str">
        <f t="shared" si="0"/>
        <v>Not started</v>
      </c>
      <c r="U35" s="7" t="s">
        <v>34</v>
      </c>
      <c r="V35" s="4"/>
      <c r="W35" s="4" t="s">
        <v>247</v>
      </c>
      <c r="X35" s="4"/>
      <c r="Y35" s="7"/>
    </row>
    <row r="36" spans="1:25" ht="25.5" x14ac:dyDescent="0.25">
      <c r="A36" s="3" t="s">
        <v>248</v>
      </c>
      <c r="B36" s="3">
        <v>7</v>
      </c>
      <c r="C36" s="4" t="s">
        <v>236</v>
      </c>
      <c r="D36" s="4" t="s">
        <v>249</v>
      </c>
      <c r="E36" s="4" t="s">
        <v>250</v>
      </c>
      <c r="F36" s="5" t="s">
        <v>251</v>
      </c>
      <c r="G36" s="5" t="s">
        <v>252</v>
      </c>
      <c r="H36" s="3">
        <v>1</v>
      </c>
      <c r="I36" s="3"/>
      <c r="J36" s="3"/>
      <c r="K36" s="4"/>
      <c r="L36" s="3"/>
      <c r="M36" s="3" t="s">
        <v>80</v>
      </c>
      <c r="N36" s="3" t="s">
        <v>80</v>
      </c>
      <c r="O36" s="3" t="s">
        <v>80</v>
      </c>
      <c r="P36" s="3" t="s">
        <v>80</v>
      </c>
      <c r="Q36" s="3" t="s">
        <v>80</v>
      </c>
      <c r="R36" s="3" t="s">
        <v>80</v>
      </c>
      <c r="S36" s="3" t="s">
        <v>80</v>
      </c>
      <c r="T36" s="6" t="str">
        <f t="shared" si="0"/>
        <v>Not started</v>
      </c>
      <c r="U36" s="7" t="s">
        <v>34</v>
      </c>
      <c r="V36" s="4"/>
      <c r="W36" s="4" t="s">
        <v>253</v>
      </c>
      <c r="X36" s="4"/>
      <c r="Y36" s="7" t="s">
        <v>221</v>
      </c>
    </row>
    <row r="37" spans="1:25" ht="25.5" x14ac:dyDescent="0.25">
      <c r="A37" s="3" t="s">
        <v>254</v>
      </c>
      <c r="B37" s="3">
        <v>7</v>
      </c>
      <c r="C37" s="4" t="s">
        <v>236</v>
      </c>
      <c r="D37" s="4" t="s">
        <v>255</v>
      </c>
      <c r="E37" s="4" t="s">
        <v>256</v>
      </c>
      <c r="F37" s="5" t="s">
        <v>257</v>
      </c>
      <c r="G37" s="5" t="s">
        <v>258</v>
      </c>
      <c r="H37" s="3">
        <v>0</v>
      </c>
      <c r="I37" s="3"/>
      <c r="J37" s="3"/>
      <c r="K37" s="4"/>
      <c r="L37" s="3"/>
      <c r="M37" s="3" t="s">
        <v>80</v>
      </c>
      <c r="N37" s="3" t="s">
        <v>80</v>
      </c>
      <c r="O37" s="3" t="s">
        <v>80</v>
      </c>
      <c r="P37" s="3" t="s">
        <v>80</v>
      </c>
      <c r="Q37" s="3" t="s">
        <v>80</v>
      </c>
      <c r="R37" s="3" t="s">
        <v>80</v>
      </c>
      <c r="S37" s="3" t="s">
        <v>80</v>
      </c>
      <c r="T37" s="6" t="str">
        <f t="shared" si="0"/>
        <v>Not started</v>
      </c>
      <c r="U37" s="7" t="s">
        <v>34</v>
      </c>
      <c r="V37" s="4"/>
      <c r="W37" s="4" t="s">
        <v>259</v>
      </c>
      <c r="X37" s="4"/>
      <c r="Y37" s="7" t="s">
        <v>260</v>
      </c>
    </row>
    <row r="38" spans="1:25" ht="25.5" x14ac:dyDescent="0.25">
      <c r="A38" s="3" t="s">
        <v>261</v>
      </c>
      <c r="B38" s="3">
        <v>7</v>
      </c>
      <c r="C38" s="4" t="s">
        <v>236</v>
      </c>
      <c r="D38" s="4" t="s">
        <v>262</v>
      </c>
      <c r="E38" s="4" t="s">
        <v>263</v>
      </c>
      <c r="F38" s="5" t="s">
        <v>264</v>
      </c>
      <c r="G38" s="5" t="s">
        <v>265</v>
      </c>
      <c r="H38" s="3">
        <v>2</v>
      </c>
      <c r="I38" s="3"/>
      <c r="J38" s="3"/>
      <c r="K38" s="4"/>
      <c r="L38" s="3"/>
      <c r="M38" s="3" t="s">
        <v>80</v>
      </c>
      <c r="N38" s="3" t="s">
        <v>80</v>
      </c>
      <c r="O38" s="3" t="s">
        <v>80</v>
      </c>
      <c r="P38" s="3" t="s">
        <v>80</v>
      </c>
      <c r="Q38" s="3" t="s">
        <v>80</v>
      </c>
      <c r="R38" s="3" t="s">
        <v>80</v>
      </c>
      <c r="S38" s="3" t="s">
        <v>80</v>
      </c>
      <c r="T38" s="6" t="str">
        <f t="shared" si="0"/>
        <v>Not started</v>
      </c>
      <c r="U38" s="7" t="s">
        <v>34</v>
      </c>
      <c r="V38" s="4"/>
      <c r="W38" s="4" t="s">
        <v>266</v>
      </c>
      <c r="X38" s="4"/>
      <c r="Y38" s="7" t="s">
        <v>228</v>
      </c>
    </row>
    <row r="39" spans="1:25" ht="25.5" x14ac:dyDescent="0.25">
      <c r="A39" s="3" t="s">
        <v>267</v>
      </c>
      <c r="B39" s="3">
        <v>7</v>
      </c>
      <c r="C39" s="4" t="s">
        <v>236</v>
      </c>
      <c r="D39" s="4" t="s">
        <v>268</v>
      </c>
      <c r="E39" s="4" t="s">
        <v>269</v>
      </c>
      <c r="F39" s="5" t="s">
        <v>270</v>
      </c>
      <c r="G39" s="5" t="s">
        <v>271</v>
      </c>
      <c r="H39" s="3">
        <v>6</v>
      </c>
      <c r="I39" s="3"/>
      <c r="J39" s="3"/>
      <c r="K39" s="4"/>
      <c r="L39" s="3"/>
      <c r="M39" s="3" t="s">
        <v>80</v>
      </c>
      <c r="N39" s="3" t="s">
        <v>80</v>
      </c>
      <c r="O39" s="3" t="s">
        <v>80</v>
      </c>
      <c r="P39" s="3" t="s">
        <v>80</v>
      </c>
      <c r="Q39" s="3" t="s">
        <v>80</v>
      </c>
      <c r="R39" s="3" t="s">
        <v>80</v>
      </c>
      <c r="S39" s="3" t="s">
        <v>80</v>
      </c>
      <c r="T39" s="6" t="str">
        <f t="shared" si="0"/>
        <v>Not started</v>
      </c>
      <c r="U39" s="7" t="s">
        <v>34</v>
      </c>
      <c r="V39" s="4"/>
      <c r="W39" s="4" t="s">
        <v>272</v>
      </c>
      <c r="X39" s="4"/>
      <c r="Y39" s="7"/>
    </row>
    <row r="40" spans="1:25" ht="25.5" x14ac:dyDescent="0.25">
      <c r="A40" s="3" t="s">
        <v>273</v>
      </c>
      <c r="B40" s="3">
        <v>7</v>
      </c>
      <c r="C40" s="4" t="s">
        <v>236</v>
      </c>
      <c r="D40" s="4" t="s">
        <v>274</v>
      </c>
      <c r="E40" s="4" t="s">
        <v>275</v>
      </c>
      <c r="F40" s="5" t="s">
        <v>276</v>
      </c>
      <c r="G40" s="5" t="s">
        <v>277</v>
      </c>
      <c r="H40" s="3">
        <v>33</v>
      </c>
      <c r="I40" s="3"/>
      <c r="J40" s="3"/>
      <c r="K40" s="4"/>
      <c r="L40" s="3"/>
      <c r="M40" s="3" t="s">
        <v>80</v>
      </c>
      <c r="N40" s="3" t="s">
        <v>80</v>
      </c>
      <c r="O40" s="3" t="s">
        <v>80</v>
      </c>
      <c r="P40" s="3" t="s">
        <v>80</v>
      </c>
      <c r="Q40" s="3" t="s">
        <v>80</v>
      </c>
      <c r="R40" s="3" t="s">
        <v>80</v>
      </c>
      <c r="S40" s="3" t="s">
        <v>80</v>
      </c>
      <c r="T40" s="6" t="str">
        <f t="shared" si="0"/>
        <v>Not started</v>
      </c>
      <c r="U40" s="7" t="s">
        <v>34</v>
      </c>
      <c r="V40" s="4"/>
      <c r="W40" s="4" t="s">
        <v>278</v>
      </c>
      <c r="X40" s="4"/>
      <c r="Y40" s="7" t="s">
        <v>279</v>
      </c>
    </row>
    <row r="41" spans="1:25" ht="25.5" x14ac:dyDescent="0.25">
      <c r="A41" s="3" t="s">
        <v>280</v>
      </c>
      <c r="B41" s="3">
        <v>8</v>
      </c>
      <c r="C41" s="4" t="s">
        <v>281</v>
      </c>
      <c r="D41" s="4"/>
      <c r="E41" s="4" t="s">
        <v>282</v>
      </c>
      <c r="F41" s="5" t="s">
        <v>283</v>
      </c>
      <c r="G41" s="5" t="s">
        <v>284</v>
      </c>
      <c r="H41" s="3">
        <v>9</v>
      </c>
      <c r="I41" s="3"/>
      <c r="J41" s="3"/>
      <c r="K41" s="4"/>
      <c r="L41" s="3"/>
      <c r="M41" s="3" t="s">
        <v>80</v>
      </c>
      <c r="N41" s="3" t="s">
        <v>80</v>
      </c>
      <c r="O41" s="3" t="s">
        <v>80</v>
      </c>
      <c r="P41" s="3" t="s">
        <v>80</v>
      </c>
      <c r="Q41" s="3" t="s">
        <v>80</v>
      </c>
      <c r="R41" s="3" t="s">
        <v>80</v>
      </c>
      <c r="S41" s="3" t="s">
        <v>80</v>
      </c>
      <c r="T41" s="6" t="str">
        <f t="shared" si="0"/>
        <v>Not started</v>
      </c>
      <c r="U41" s="7" t="s">
        <v>34</v>
      </c>
      <c r="V41" s="4"/>
      <c r="W41" s="4" t="s">
        <v>285</v>
      </c>
      <c r="X41" s="4"/>
      <c r="Y41" s="7"/>
    </row>
    <row r="42" spans="1:25" ht="38.25" x14ac:dyDescent="0.25">
      <c r="A42" s="3" t="s">
        <v>286</v>
      </c>
      <c r="B42" s="3">
        <v>8</v>
      </c>
      <c r="C42" s="4" t="s">
        <v>287</v>
      </c>
      <c r="D42" s="4"/>
      <c r="E42" s="4" t="s">
        <v>288</v>
      </c>
      <c r="F42" s="5" t="s">
        <v>289</v>
      </c>
      <c r="G42" s="5" t="s">
        <v>290</v>
      </c>
      <c r="H42" s="3">
        <v>4</v>
      </c>
      <c r="I42" s="3"/>
      <c r="J42" s="3"/>
      <c r="K42" s="4"/>
      <c r="L42" s="3"/>
      <c r="M42" s="3" t="s">
        <v>80</v>
      </c>
      <c r="N42" s="3" t="s">
        <v>80</v>
      </c>
      <c r="O42" s="3" t="s">
        <v>80</v>
      </c>
      <c r="P42" s="3" t="s">
        <v>80</v>
      </c>
      <c r="Q42" s="3" t="s">
        <v>80</v>
      </c>
      <c r="R42" s="3" t="s">
        <v>80</v>
      </c>
      <c r="S42" s="3" t="s">
        <v>80</v>
      </c>
      <c r="T42" s="6" t="str">
        <f t="shared" si="0"/>
        <v>Not started</v>
      </c>
      <c r="U42" s="7" t="s">
        <v>34</v>
      </c>
      <c r="V42" s="4"/>
      <c r="W42" s="4" t="s">
        <v>291</v>
      </c>
      <c r="X42" s="4"/>
      <c r="Y42" s="7" t="s">
        <v>101</v>
      </c>
    </row>
    <row r="43" spans="1:25" ht="25.5" x14ac:dyDescent="0.25">
      <c r="A43" s="3" t="s">
        <v>292</v>
      </c>
      <c r="B43" s="3">
        <v>8</v>
      </c>
      <c r="C43" s="4" t="s">
        <v>293</v>
      </c>
      <c r="D43" s="4"/>
      <c r="E43" s="4" t="s">
        <v>294</v>
      </c>
      <c r="F43" s="5" t="s">
        <v>295</v>
      </c>
      <c r="G43" s="5" t="s">
        <v>296</v>
      </c>
      <c r="H43" s="3">
        <v>12</v>
      </c>
      <c r="I43" s="3"/>
      <c r="J43" s="3"/>
      <c r="K43" s="4"/>
      <c r="L43" s="3"/>
      <c r="M43" s="3" t="s">
        <v>80</v>
      </c>
      <c r="N43" s="3" t="s">
        <v>80</v>
      </c>
      <c r="O43" s="3" t="s">
        <v>80</v>
      </c>
      <c r="P43" s="3" t="s">
        <v>80</v>
      </c>
      <c r="Q43" s="3" t="s">
        <v>80</v>
      </c>
      <c r="R43" s="3" t="s">
        <v>80</v>
      </c>
      <c r="S43" s="3" t="s">
        <v>80</v>
      </c>
      <c r="T43" s="6" t="str">
        <f t="shared" si="0"/>
        <v>Not started</v>
      </c>
      <c r="U43" s="7" t="s">
        <v>34</v>
      </c>
      <c r="V43" s="4"/>
      <c r="W43" s="4" t="s">
        <v>297</v>
      </c>
      <c r="X43" s="4"/>
      <c r="Y43" s="7" t="s">
        <v>298</v>
      </c>
    </row>
    <row r="44" spans="1:25" ht="25.5" x14ac:dyDescent="0.25">
      <c r="A44" s="3" t="s">
        <v>299</v>
      </c>
      <c r="B44" s="3">
        <v>8</v>
      </c>
      <c r="C44" s="4" t="s">
        <v>300</v>
      </c>
      <c r="D44" s="4"/>
      <c r="E44" s="4" t="s">
        <v>301</v>
      </c>
      <c r="F44" s="5" t="s">
        <v>302</v>
      </c>
      <c r="G44" s="5" t="s">
        <v>303</v>
      </c>
      <c r="H44" s="3">
        <v>2</v>
      </c>
      <c r="I44" s="3"/>
      <c r="J44" s="3"/>
      <c r="K44" s="4"/>
      <c r="L44" s="3"/>
      <c r="M44" s="3" t="s">
        <v>80</v>
      </c>
      <c r="N44" s="3" t="s">
        <v>80</v>
      </c>
      <c r="O44" s="3" t="s">
        <v>80</v>
      </c>
      <c r="P44" s="3" t="s">
        <v>80</v>
      </c>
      <c r="Q44" s="3" t="s">
        <v>80</v>
      </c>
      <c r="R44" s="3" t="s">
        <v>80</v>
      </c>
      <c r="S44" s="3" t="s">
        <v>80</v>
      </c>
      <c r="T44" s="6" t="str">
        <f t="shared" si="0"/>
        <v>Not started</v>
      </c>
      <c r="U44" s="7" t="s">
        <v>34</v>
      </c>
      <c r="V44" s="4"/>
      <c r="W44" s="4" t="s">
        <v>304</v>
      </c>
      <c r="X44" s="4"/>
      <c r="Y44" s="7" t="s">
        <v>228</v>
      </c>
    </row>
  </sheetData>
  <autoFilter ref="A4:Y44" xr:uid="{00000000-0009-0000-0000-000000000000}"/>
  <mergeCells count="1">
    <mergeCell ref="A2:Y2"/>
  </mergeCells>
  <conditionalFormatting sqref="M5:T44">
    <cfRule type="cellIs" dxfId="8" priority="1" operator="equal">
      <formula>"Done"</formula>
    </cfRule>
    <cfRule type="cellIs" dxfId="7" priority="2" operator="equal">
      <formula>"Ready for client review"</formula>
    </cfRule>
    <cfRule type="cellIs" dxfId="6" priority="3" operator="equal">
      <formula>"In progress"</formula>
    </cfRule>
    <cfRule type="cellIs" dxfId="5" priority="4" operator="equal">
      <formula>"Blocked"</formula>
    </cfRule>
    <cfRule type="cellIs" dxfId="4" priority="5" operator="equal">
      <formula>"Not started"</formula>
    </cfRule>
    <cfRule type="cellIs" dxfId="3" priority="6" operator="equal">
      <formula>"N/A"</formula>
    </cfRule>
  </conditionalFormatting>
  <conditionalFormatting sqref="U5:U44">
    <cfRule type="cellIs" dxfId="2" priority="7" operator="equal">
      <formula>"Approved"</formula>
    </cfRule>
    <cfRule type="cellIs" dxfId="1" priority="8" operator="equal">
      <formula>"Changes requested"</formula>
    </cfRule>
    <cfRule type="cellIs" dxfId="0" priority="9" operator="equal">
      <formula>"Pending review"</formula>
    </cfRule>
  </conditionalFormatting>
  <dataValidations count="2">
    <dataValidation type="list" sqref="M5:S44" xr:uid="{00000000-0002-0000-0000-000000000000}">
      <formula1>"Not started,In progress,Done,Blocked,N/A"</formula1>
    </dataValidation>
    <dataValidation type="list" allowBlank="1" sqref="U5:U44" xr:uid="{00000000-0002-0000-0000-000001000000}">
      <formula1>"Not sent,Pending review,Changes requested,Approved"</formula1>
    </dataValidation>
  </dataValidations>
  <hyperlinks>
    <hyperlink ref="F5" r:id="rId1" xr:uid="{00000000-0004-0000-0000-000000000000}"/>
    <hyperlink ref="G5" r:id="rId2" xr:uid="{00000000-0004-0000-0000-000001000000}"/>
    <hyperlink ref="V5" r:id="rId3" xr:uid="{00000000-0004-0000-0000-000002000000}"/>
    <hyperlink ref="F6" r:id="rId4" xr:uid="{00000000-0004-0000-0000-000003000000}"/>
    <hyperlink ref="G6" r:id="rId5" xr:uid="{00000000-0004-0000-0000-000004000000}"/>
    <hyperlink ref="V6" r:id="rId6" xr:uid="{00000000-0004-0000-0000-000005000000}"/>
    <hyperlink ref="F7" r:id="rId7" xr:uid="{00000000-0004-0000-0000-000006000000}"/>
    <hyperlink ref="G7" r:id="rId8" xr:uid="{00000000-0004-0000-0000-000007000000}"/>
    <hyperlink ref="V7" r:id="rId9" xr:uid="{00000000-0004-0000-0000-000008000000}"/>
    <hyperlink ref="F8" r:id="rId10" xr:uid="{00000000-0004-0000-0000-000009000000}"/>
    <hyperlink ref="G8" r:id="rId11" xr:uid="{00000000-0004-0000-0000-00000A000000}"/>
    <hyperlink ref="V8" r:id="rId12" xr:uid="{00000000-0004-0000-0000-00000B000000}"/>
    <hyperlink ref="F9" r:id="rId13" xr:uid="{00000000-0004-0000-0000-00000C000000}"/>
    <hyperlink ref="G9" r:id="rId14" xr:uid="{00000000-0004-0000-0000-00000D000000}"/>
    <hyperlink ref="V9" r:id="rId15" xr:uid="{00000000-0004-0000-0000-00000E000000}"/>
    <hyperlink ref="F10" r:id="rId16" xr:uid="{00000000-0004-0000-0000-00000F000000}"/>
    <hyperlink ref="G10" r:id="rId17" xr:uid="{00000000-0004-0000-0000-000010000000}"/>
    <hyperlink ref="F11" r:id="rId18" xr:uid="{00000000-0004-0000-0000-000011000000}"/>
    <hyperlink ref="G11" r:id="rId19" xr:uid="{00000000-0004-0000-0000-000012000000}"/>
    <hyperlink ref="F12" r:id="rId20" xr:uid="{00000000-0004-0000-0000-000013000000}"/>
    <hyperlink ref="G12" r:id="rId21" xr:uid="{00000000-0004-0000-0000-000014000000}"/>
    <hyperlink ref="F13" r:id="rId22" xr:uid="{00000000-0004-0000-0000-000015000000}"/>
    <hyperlink ref="G13" r:id="rId23" xr:uid="{00000000-0004-0000-0000-000016000000}"/>
    <hyperlink ref="F14" r:id="rId24" xr:uid="{00000000-0004-0000-0000-000017000000}"/>
    <hyperlink ref="G14" r:id="rId25" xr:uid="{00000000-0004-0000-0000-000018000000}"/>
    <hyperlink ref="F15" r:id="rId26" xr:uid="{00000000-0004-0000-0000-000019000000}"/>
    <hyperlink ref="G15" r:id="rId27" xr:uid="{00000000-0004-0000-0000-00001A000000}"/>
    <hyperlink ref="F16" r:id="rId28" xr:uid="{00000000-0004-0000-0000-00001B000000}"/>
    <hyperlink ref="G16" r:id="rId29" xr:uid="{00000000-0004-0000-0000-00001C000000}"/>
    <hyperlink ref="F17" r:id="rId30" xr:uid="{00000000-0004-0000-0000-00001D000000}"/>
    <hyperlink ref="G17" r:id="rId31" xr:uid="{00000000-0004-0000-0000-00001E000000}"/>
    <hyperlink ref="F18" r:id="rId32" xr:uid="{00000000-0004-0000-0000-00001F000000}"/>
    <hyperlink ref="G18" r:id="rId33" xr:uid="{00000000-0004-0000-0000-000020000000}"/>
    <hyperlink ref="F19" r:id="rId34" xr:uid="{00000000-0004-0000-0000-000021000000}"/>
    <hyperlink ref="G19" r:id="rId35" xr:uid="{00000000-0004-0000-0000-000022000000}"/>
    <hyperlink ref="F20" r:id="rId36" xr:uid="{00000000-0004-0000-0000-000023000000}"/>
    <hyperlink ref="G20" r:id="rId37" xr:uid="{00000000-0004-0000-0000-000024000000}"/>
    <hyperlink ref="F21" r:id="rId38" xr:uid="{00000000-0004-0000-0000-000025000000}"/>
    <hyperlink ref="G21" r:id="rId39" xr:uid="{00000000-0004-0000-0000-000026000000}"/>
    <hyperlink ref="F22" r:id="rId40" xr:uid="{00000000-0004-0000-0000-000027000000}"/>
    <hyperlink ref="G22" r:id="rId41" xr:uid="{00000000-0004-0000-0000-000028000000}"/>
    <hyperlink ref="F23" r:id="rId42" xr:uid="{00000000-0004-0000-0000-000029000000}"/>
    <hyperlink ref="G23" r:id="rId43" xr:uid="{00000000-0004-0000-0000-00002A000000}"/>
    <hyperlink ref="F24" r:id="rId44" xr:uid="{00000000-0004-0000-0000-00002B000000}"/>
    <hyperlink ref="G24" r:id="rId45" xr:uid="{00000000-0004-0000-0000-00002C000000}"/>
    <hyperlink ref="F25" r:id="rId46" xr:uid="{00000000-0004-0000-0000-00002D000000}"/>
    <hyperlink ref="G25" r:id="rId47" xr:uid="{00000000-0004-0000-0000-00002E000000}"/>
    <hyperlink ref="F26" r:id="rId48" xr:uid="{00000000-0004-0000-0000-00002F000000}"/>
    <hyperlink ref="G26" r:id="rId49" xr:uid="{00000000-0004-0000-0000-000030000000}"/>
    <hyperlink ref="F27" r:id="rId50" xr:uid="{00000000-0004-0000-0000-000031000000}"/>
    <hyperlink ref="G27" r:id="rId51" xr:uid="{00000000-0004-0000-0000-000032000000}"/>
    <hyperlink ref="V27" r:id="rId52" xr:uid="{00000000-0004-0000-0000-000033000000}"/>
    <hyperlink ref="F28" r:id="rId53" xr:uid="{00000000-0004-0000-0000-000034000000}"/>
    <hyperlink ref="G28" r:id="rId54" xr:uid="{00000000-0004-0000-0000-000035000000}"/>
    <hyperlink ref="F29" r:id="rId55" xr:uid="{00000000-0004-0000-0000-000036000000}"/>
    <hyperlink ref="G29" r:id="rId56" xr:uid="{00000000-0004-0000-0000-000037000000}"/>
    <hyperlink ref="F30" r:id="rId57" xr:uid="{00000000-0004-0000-0000-000038000000}"/>
    <hyperlink ref="G30" r:id="rId58" xr:uid="{00000000-0004-0000-0000-000039000000}"/>
    <hyperlink ref="F31" r:id="rId59" xr:uid="{00000000-0004-0000-0000-00003A000000}"/>
    <hyperlink ref="G31" r:id="rId60" xr:uid="{00000000-0004-0000-0000-00003B000000}"/>
    <hyperlink ref="F32" r:id="rId61" xr:uid="{00000000-0004-0000-0000-00003C000000}"/>
    <hyperlink ref="G32" r:id="rId62" xr:uid="{00000000-0004-0000-0000-00003D000000}"/>
    <hyperlink ref="F33" r:id="rId63" xr:uid="{00000000-0004-0000-0000-00003E000000}"/>
    <hyperlink ref="G33" r:id="rId64" xr:uid="{00000000-0004-0000-0000-00003F000000}"/>
    <hyperlink ref="F34" r:id="rId65" xr:uid="{00000000-0004-0000-0000-000040000000}"/>
    <hyperlink ref="G34" r:id="rId66" xr:uid="{00000000-0004-0000-0000-000041000000}"/>
    <hyperlink ref="F35" r:id="rId67" xr:uid="{00000000-0004-0000-0000-000042000000}"/>
    <hyperlink ref="G35" r:id="rId68" xr:uid="{00000000-0004-0000-0000-000043000000}"/>
    <hyperlink ref="F36" r:id="rId69" xr:uid="{00000000-0004-0000-0000-000044000000}"/>
    <hyperlink ref="G36" r:id="rId70" xr:uid="{00000000-0004-0000-0000-000045000000}"/>
    <hyperlink ref="F37" r:id="rId71" xr:uid="{00000000-0004-0000-0000-000046000000}"/>
    <hyperlink ref="G37" r:id="rId72" xr:uid="{00000000-0004-0000-0000-000047000000}"/>
    <hyperlink ref="F38" r:id="rId73" xr:uid="{00000000-0004-0000-0000-000048000000}"/>
    <hyperlink ref="G38" r:id="rId74" xr:uid="{00000000-0004-0000-0000-000049000000}"/>
    <hyperlink ref="F39" r:id="rId75" xr:uid="{00000000-0004-0000-0000-00004A000000}"/>
    <hyperlink ref="G39" r:id="rId76" xr:uid="{00000000-0004-0000-0000-00004B000000}"/>
    <hyperlink ref="F40" r:id="rId77" xr:uid="{00000000-0004-0000-0000-00004C000000}"/>
    <hyperlink ref="G40" r:id="rId78" xr:uid="{00000000-0004-0000-0000-00004D000000}"/>
    <hyperlink ref="F41" r:id="rId79" xr:uid="{00000000-0004-0000-0000-00004E000000}"/>
    <hyperlink ref="G41" r:id="rId80" xr:uid="{00000000-0004-0000-0000-00004F000000}"/>
    <hyperlink ref="F42" r:id="rId81" xr:uid="{00000000-0004-0000-0000-000050000000}"/>
    <hyperlink ref="G42" r:id="rId82" xr:uid="{00000000-0004-0000-0000-000051000000}"/>
    <hyperlink ref="F43" r:id="rId83" xr:uid="{00000000-0004-0000-0000-000052000000}"/>
    <hyperlink ref="G43" r:id="rId84" xr:uid="{00000000-0004-0000-0000-000053000000}"/>
    <hyperlink ref="F44" r:id="rId85" xr:uid="{00000000-0004-0000-0000-000054000000}"/>
    <hyperlink ref="G44" r:id="rId86" xr:uid="{00000000-0004-0000-0000-000055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4"/>
  <sheetViews>
    <sheetView workbookViewId="0"/>
  </sheetViews>
  <sheetFormatPr defaultRowHeight="15" x14ac:dyDescent="0.25"/>
  <cols>
    <col min="1" max="1" width="34" customWidth="1"/>
    <col min="2" max="2" width="10" customWidth="1"/>
    <col min="3" max="3" width="24" customWidth="1"/>
    <col min="4" max="4" width="12" customWidth="1"/>
    <col min="5" max="5" width="24" customWidth="1"/>
  </cols>
  <sheetData>
    <row r="1" spans="1:3" ht="18" x14ac:dyDescent="0.25">
      <c r="A1" s="1" t="s">
        <v>305</v>
      </c>
    </row>
    <row r="2" spans="1:3" x14ac:dyDescent="0.25">
      <c r="A2" s="8" t="s">
        <v>306</v>
      </c>
    </row>
    <row r="4" spans="1:3" x14ac:dyDescent="0.25">
      <c r="A4" s="9" t="s">
        <v>307</v>
      </c>
      <c r="B4" s="9" t="s">
        <v>308</v>
      </c>
    </row>
    <row r="5" spans="1:3" x14ac:dyDescent="0.25">
      <c r="A5" s="10" t="s">
        <v>309</v>
      </c>
      <c r="B5" s="6">
        <f>COUNTA(Pages!$A$5:$A$44)</f>
        <v>40</v>
      </c>
    </row>
    <row r="6" spans="1:3" x14ac:dyDescent="0.25">
      <c r="A6" s="10" t="s">
        <v>310</v>
      </c>
      <c r="B6" s="6">
        <f>COUNTIF(Pages!$T$5:$T$44,"Ready for client review")</f>
        <v>6</v>
      </c>
    </row>
    <row r="7" spans="1:3" x14ac:dyDescent="0.25">
      <c r="A7" s="10" t="s">
        <v>311</v>
      </c>
      <c r="B7" s="6">
        <f>COUNTIF(Pages!$T$5:$T$44,"In progress")</f>
        <v>0</v>
      </c>
    </row>
    <row r="8" spans="1:3" x14ac:dyDescent="0.25">
      <c r="A8" s="10" t="s">
        <v>80</v>
      </c>
      <c r="B8" s="6">
        <f>COUNTIF(Pages!$T$5:$T$44,"Not started")</f>
        <v>34</v>
      </c>
    </row>
    <row r="9" spans="1:3" x14ac:dyDescent="0.25">
      <c r="A9" s="10" t="s">
        <v>312</v>
      </c>
      <c r="B9" s="6">
        <f>COUNTIF(Pages!$T$5:$T$44,"Blocked")</f>
        <v>0</v>
      </c>
    </row>
    <row r="10" spans="1:3" x14ac:dyDescent="0.25">
      <c r="A10" s="10" t="s">
        <v>313</v>
      </c>
      <c r="B10" s="6">
        <f>COUNTIF(Pages!$U$5:$U$44,"Approved")</f>
        <v>0</v>
      </c>
    </row>
    <row r="11" spans="1:3" x14ac:dyDescent="0.25">
      <c r="A11" s="10" t="s">
        <v>314</v>
      </c>
      <c r="B11" s="6">
        <f>COUNTIF(Pages!$U$5:$U$44,"Changes requested")</f>
        <v>0</v>
      </c>
    </row>
    <row r="12" spans="1:3" x14ac:dyDescent="0.25">
      <c r="A12" s="10" t="s">
        <v>315</v>
      </c>
      <c r="B12" s="6">
        <f>SUM(Pages!$I$5:$I$44)</f>
        <v>300</v>
      </c>
    </row>
    <row r="14" spans="1:3" x14ac:dyDescent="0.25">
      <c r="A14" s="11" t="s">
        <v>316</v>
      </c>
    </row>
    <row r="15" spans="1:3" x14ac:dyDescent="0.25">
      <c r="A15" s="9" t="s">
        <v>317</v>
      </c>
      <c r="B15" s="9" t="s">
        <v>33</v>
      </c>
      <c r="C15" s="9" t="s">
        <v>318</v>
      </c>
    </row>
    <row r="16" spans="1:3" x14ac:dyDescent="0.25">
      <c r="A16" s="10" t="s">
        <v>14</v>
      </c>
      <c r="B16" s="10">
        <f>COUNTIF(Pages!$M$5:$M$44,"Done")</f>
        <v>6</v>
      </c>
      <c r="C16" s="12">
        <f t="shared" ref="C16:C22" si="0">IF($B$5=0,0,B16/$B$5)</f>
        <v>0.15</v>
      </c>
    </row>
    <row r="17" spans="1:5" x14ac:dyDescent="0.25">
      <c r="A17" s="10" t="s">
        <v>15</v>
      </c>
      <c r="B17" s="10">
        <f>COUNTIF(Pages!$N$5:$N$44,"Done")</f>
        <v>6</v>
      </c>
      <c r="C17" s="12">
        <f t="shared" si="0"/>
        <v>0.15</v>
      </c>
    </row>
    <row r="18" spans="1:5" x14ac:dyDescent="0.25">
      <c r="A18" s="10" t="s">
        <v>16</v>
      </c>
      <c r="B18" s="10">
        <f>COUNTIF(Pages!$O$5:$O$44,"Done")</f>
        <v>6</v>
      </c>
      <c r="C18" s="12">
        <f t="shared" si="0"/>
        <v>0.15</v>
      </c>
    </row>
    <row r="19" spans="1:5" x14ac:dyDescent="0.25">
      <c r="A19" s="10" t="s">
        <v>17</v>
      </c>
      <c r="B19" s="10">
        <f>COUNTIF(Pages!$P$5:$P$44,"Done")</f>
        <v>6</v>
      </c>
      <c r="C19" s="12">
        <f t="shared" si="0"/>
        <v>0.15</v>
      </c>
    </row>
    <row r="20" spans="1:5" x14ac:dyDescent="0.25">
      <c r="A20" s="10" t="s">
        <v>18</v>
      </c>
      <c r="B20" s="10">
        <f>COUNTIF(Pages!$Q$5:$Q$44,"Done")</f>
        <v>6</v>
      </c>
      <c r="C20" s="12">
        <f t="shared" si="0"/>
        <v>0.15</v>
      </c>
    </row>
    <row r="21" spans="1:5" x14ac:dyDescent="0.25">
      <c r="A21" s="10" t="s">
        <v>19</v>
      </c>
      <c r="B21" s="10">
        <f>COUNTIF(Pages!$R$5:$R$44,"Done")</f>
        <v>6</v>
      </c>
      <c r="C21" s="12">
        <f t="shared" si="0"/>
        <v>0.15</v>
      </c>
    </row>
    <row r="22" spans="1:5" x14ac:dyDescent="0.25">
      <c r="A22" s="10" t="s">
        <v>20</v>
      </c>
      <c r="B22" s="10">
        <f>COUNTIF(Pages!$S$5:$S$44,"Done")</f>
        <v>6</v>
      </c>
      <c r="C22" s="12">
        <f t="shared" si="0"/>
        <v>0.15</v>
      </c>
    </row>
    <row r="24" spans="1:5" x14ac:dyDescent="0.25">
      <c r="A24" s="11" t="s">
        <v>319</v>
      </c>
    </row>
    <row r="25" spans="1:5" x14ac:dyDescent="0.25">
      <c r="A25" s="9" t="s">
        <v>3</v>
      </c>
      <c r="B25" s="9" t="s">
        <v>320</v>
      </c>
      <c r="C25" s="9" t="s">
        <v>310</v>
      </c>
      <c r="D25" s="9" t="s">
        <v>321</v>
      </c>
      <c r="E25" s="9" t="s">
        <v>322</v>
      </c>
    </row>
    <row r="26" spans="1:5" x14ac:dyDescent="0.25">
      <c r="A26" s="10">
        <v>0</v>
      </c>
      <c r="B26" s="10">
        <f>COUNTIF(Pages!$B$5:$B$44,A26)</f>
        <v>1</v>
      </c>
      <c r="C26" s="10">
        <f>COUNTIFS(Pages!$B$5:$B$44,A26,Pages!$T$5:$T$44,"Ready for client review")</f>
        <v>1</v>
      </c>
      <c r="D26" s="10">
        <f>COUNTIFS(Pages!$B$5:$B$44,A26,Pages!$U$5:$U$44,"Approved")</f>
        <v>0</v>
      </c>
      <c r="E26" s="6" t="str">
        <f>IF(D26=B26,"Approved",IF(C26=B26,"Ready for client review",IF(C26&gt;0,"In progress",IF(COUNTIFS(Pages!$B$5:$B$44,A26,Pages!$T$5:$T$44,"In progress")&gt;0,"In progress","Not started"))))</f>
        <v>Ready for client review</v>
      </c>
    </row>
    <row r="27" spans="1:5" x14ac:dyDescent="0.25">
      <c r="A27" s="10">
        <v>1</v>
      </c>
      <c r="B27" s="10">
        <f>COUNTIF(Pages!$B$5:$B$44,A27)</f>
        <v>5</v>
      </c>
      <c r="C27" s="10">
        <f>COUNTIFS(Pages!$B$5:$B$44,A27,Pages!$T$5:$T$44,"Ready for client review")</f>
        <v>5</v>
      </c>
      <c r="D27" s="10">
        <f>COUNTIFS(Pages!$B$5:$B$44,A27,Pages!$U$5:$U$44,"Approved")</f>
        <v>0</v>
      </c>
      <c r="E27" s="6" t="str">
        <f>IF(D27=B27,"Approved",IF(C27=B27,"Ready for client review",IF(C27&gt;0,"In progress",IF(COUNTIFS(Pages!$B$5:$B$44,A27,Pages!$T$5:$T$44,"In progress")&gt;0,"In progress","Not started"))))</f>
        <v>Ready for client review</v>
      </c>
    </row>
    <row r="28" spans="1:5" x14ac:dyDescent="0.25">
      <c r="A28" s="10">
        <v>2</v>
      </c>
      <c r="B28" s="10">
        <f>COUNTIF(Pages!$B$5:$B$44,A28)</f>
        <v>5</v>
      </c>
      <c r="C28" s="10">
        <f>COUNTIFS(Pages!$B$5:$B$44,A28,Pages!$T$5:$T$44,"Ready for client review")</f>
        <v>0</v>
      </c>
      <c r="D28" s="10">
        <f>COUNTIFS(Pages!$B$5:$B$44,A28,Pages!$U$5:$U$44,"Approved")</f>
        <v>0</v>
      </c>
      <c r="E28" s="6" t="str">
        <f>IF(D28=B28,"Approved",IF(C28=B28,"Ready for client review",IF(C28&gt;0,"In progress",IF(COUNTIFS(Pages!$B$5:$B$44,A28,Pages!$T$5:$T$44,"In progress")&gt;0,"In progress","Not started"))))</f>
        <v>Not started</v>
      </c>
    </row>
    <row r="29" spans="1:5" x14ac:dyDescent="0.25">
      <c r="A29" s="10">
        <v>3</v>
      </c>
      <c r="B29" s="10">
        <f>COUNTIF(Pages!$B$5:$B$44,A29)</f>
        <v>5</v>
      </c>
      <c r="C29" s="10">
        <f>COUNTIFS(Pages!$B$5:$B$44,A29,Pages!$T$5:$T$44,"Ready for client review")</f>
        <v>0</v>
      </c>
      <c r="D29" s="10">
        <f>COUNTIFS(Pages!$B$5:$B$44,A29,Pages!$U$5:$U$44,"Approved")</f>
        <v>0</v>
      </c>
      <c r="E29" s="6" t="str">
        <f>IF(D29=B29,"Approved",IF(C29=B29,"Ready for client review",IF(C29&gt;0,"In progress",IF(COUNTIFS(Pages!$B$5:$B$44,A29,Pages!$T$5:$T$44,"In progress")&gt;0,"In progress","Not started"))))</f>
        <v>Not started</v>
      </c>
    </row>
    <row r="30" spans="1:5" x14ac:dyDescent="0.25">
      <c r="A30" s="10">
        <v>4</v>
      </c>
      <c r="B30" s="10">
        <f>COUNTIF(Pages!$B$5:$B$44,A30)</f>
        <v>5</v>
      </c>
      <c r="C30" s="10">
        <f>COUNTIFS(Pages!$B$5:$B$44,A30,Pages!$T$5:$T$44,"Ready for client review")</f>
        <v>0</v>
      </c>
      <c r="D30" s="10">
        <f>COUNTIFS(Pages!$B$5:$B$44,A30,Pages!$U$5:$U$44,"Approved")</f>
        <v>0</v>
      </c>
      <c r="E30" s="6" t="str">
        <f>IF(D30=B30,"Approved",IF(C30=B30,"Ready for client review",IF(C30&gt;0,"In progress",IF(COUNTIFS(Pages!$B$5:$B$44,A30,Pages!$T$5:$T$44,"In progress")&gt;0,"In progress","Not started"))))</f>
        <v>Not started</v>
      </c>
    </row>
    <row r="31" spans="1:5" x14ac:dyDescent="0.25">
      <c r="A31" s="10">
        <v>5</v>
      </c>
      <c r="B31" s="10">
        <f>COUNTIF(Pages!$B$5:$B$44,A31)</f>
        <v>5</v>
      </c>
      <c r="C31" s="10">
        <f>COUNTIFS(Pages!$B$5:$B$44,A31,Pages!$T$5:$T$44,"Ready for client review")</f>
        <v>0</v>
      </c>
      <c r="D31" s="10">
        <f>COUNTIFS(Pages!$B$5:$B$44,A31,Pages!$U$5:$U$44,"Approved")</f>
        <v>0</v>
      </c>
      <c r="E31" s="6" t="str">
        <f>IF(D31=B31,"Approved",IF(C31=B31,"Ready for client review",IF(C31&gt;0,"In progress",IF(COUNTIFS(Pages!$B$5:$B$44,A31,Pages!$T$5:$T$44,"In progress")&gt;0,"In progress","Not started"))))</f>
        <v>Not started</v>
      </c>
    </row>
    <row r="32" spans="1:5" x14ac:dyDescent="0.25">
      <c r="A32" s="10">
        <v>6</v>
      </c>
      <c r="B32" s="10">
        <f>COUNTIF(Pages!$B$5:$B$44,A32)</f>
        <v>5</v>
      </c>
      <c r="C32" s="10">
        <f>COUNTIFS(Pages!$B$5:$B$44,A32,Pages!$T$5:$T$44,"Ready for client review")</f>
        <v>0</v>
      </c>
      <c r="D32" s="10">
        <f>COUNTIFS(Pages!$B$5:$B$44,A32,Pages!$U$5:$U$44,"Approved")</f>
        <v>0</v>
      </c>
      <c r="E32" s="6" t="str">
        <f>IF(D32=B32,"Approved",IF(C32=B32,"Ready for client review",IF(C32&gt;0,"In progress",IF(COUNTIFS(Pages!$B$5:$B$44,A32,Pages!$T$5:$T$44,"In progress")&gt;0,"In progress","Not started"))))</f>
        <v>Not started</v>
      </c>
    </row>
    <row r="33" spans="1:5" x14ac:dyDescent="0.25">
      <c r="A33" s="10">
        <v>7</v>
      </c>
      <c r="B33" s="10">
        <f>COUNTIF(Pages!$B$5:$B$44,A33)</f>
        <v>5</v>
      </c>
      <c r="C33" s="10">
        <f>COUNTIFS(Pages!$B$5:$B$44,A33,Pages!$T$5:$T$44,"Ready for client review")</f>
        <v>0</v>
      </c>
      <c r="D33" s="10">
        <f>COUNTIFS(Pages!$B$5:$B$44,A33,Pages!$U$5:$U$44,"Approved")</f>
        <v>0</v>
      </c>
      <c r="E33" s="6" t="str">
        <f>IF(D33=B33,"Approved",IF(C33=B33,"Ready for client review",IF(C33&gt;0,"In progress",IF(COUNTIFS(Pages!$B$5:$B$44,A33,Pages!$T$5:$T$44,"In progress")&gt;0,"In progress","Not started"))))</f>
        <v>Not started</v>
      </c>
    </row>
    <row r="34" spans="1:5" x14ac:dyDescent="0.25">
      <c r="A34" s="10">
        <v>8</v>
      </c>
      <c r="B34" s="10">
        <f>COUNTIF(Pages!$B$5:$B$44,A34)</f>
        <v>4</v>
      </c>
      <c r="C34" s="10">
        <f>COUNTIFS(Pages!$B$5:$B$44,A34,Pages!$T$5:$T$44,"Ready for client review")</f>
        <v>0</v>
      </c>
      <c r="D34" s="10">
        <f>COUNTIFS(Pages!$B$5:$B$44,A34,Pages!$U$5:$U$44,"Approved")</f>
        <v>0</v>
      </c>
      <c r="E34" s="6" t="str">
        <f>IF(D34=B34,"Approved",IF(C34=B34,"Ready for client review",IF(C34&gt;0,"In progress",IF(COUNTIFS(Pages!$B$5:$B$44,A34,Pages!$T$5:$T$44,"In progress")&gt;0,"In progress","Not started"))))</f>
        <v>Not started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5"/>
  <sheetViews>
    <sheetView workbookViewId="0"/>
  </sheetViews>
  <sheetFormatPr defaultRowHeight="15" x14ac:dyDescent="0.25"/>
  <cols>
    <col min="1" max="1" width="26" customWidth="1"/>
    <col min="2" max="2" width="120" customWidth="1"/>
  </cols>
  <sheetData>
    <row r="1" spans="1:2" ht="18" x14ac:dyDescent="0.25">
      <c r="A1" s="1" t="s">
        <v>323</v>
      </c>
    </row>
    <row r="3" spans="1:2" ht="25.5" x14ac:dyDescent="0.25">
      <c r="A3" s="13" t="s">
        <v>324</v>
      </c>
      <c r="B3" s="14" t="s">
        <v>325</v>
      </c>
    </row>
    <row r="4" spans="1:2" ht="25.5" x14ac:dyDescent="0.25">
      <c r="A4" s="13" t="s">
        <v>14</v>
      </c>
      <c r="B4" s="14" t="s">
        <v>326</v>
      </c>
    </row>
    <row r="5" spans="1:2" x14ac:dyDescent="0.25">
      <c r="A5" s="13" t="s">
        <v>15</v>
      </c>
      <c r="B5" s="14" t="s">
        <v>327</v>
      </c>
    </row>
    <row r="6" spans="1:2" x14ac:dyDescent="0.25">
      <c r="A6" s="13" t="s">
        <v>16</v>
      </c>
      <c r="B6" s="14" t="s">
        <v>328</v>
      </c>
    </row>
    <row r="7" spans="1:2" ht="25.5" x14ac:dyDescent="0.25">
      <c r="A7" s="13" t="s">
        <v>17</v>
      </c>
      <c r="B7" s="14" t="s">
        <v>329</v>
      </c>
    </row>
    <row r="8" spans="1:2" x14ac:dyDescent="0.25">
      <c r="A8" s="13" t="s">
        <v>18</v>
      </c>
      <c r="B8" s="14" t="s">
        <v>330</v>
      </c>
    </row>
    <row r="9" spans="1:2" x14ac:dyDescent="0.25">
      <c r="A9" s="13" t="s">
        <v>19</v>
      </c>
      <c r="B9" s="14" t="s">
        <v>331</v>
      </c>
    </row>
    <row r="10" spans="1:2" x14ac:dyDescent="0.25">
      <c r="A10" s="13" t="s">
        <v>20</v>
      </c>
      <c r="B10" s="14" t="s">
        <v>332</v>
      </c>
    </row>
    <row r="11" spans="1:2" ht="25.5" x14ac:dyDescent="0.25">
      <c r="A11" s="13" t="s">
        <v>9</v>
      </c>
      <c r="B11" s="14" t="s">
        <v>333</v>
      </c>
    </row>
    <row r="12" spans="1:2" x14ac:dyDescent="0.25">
      <c r="A12" s="13" t="s">
        <v>334</v>
      </c>
      <c r="B12" s="14" t="s">
        <v>335</v>
      </c>
    </row>
    <row r="13" spans="1:2" ht="25.5" x14ac:dyDescent="0.25">
      <c r="A13" s="13" t="s">
        <v>336</v>
      </c>
      <c r="B13" s="14" t="s">
        <v>337</v>
      </c>
    </row>
    <row r="15" spans="1:2" x14ac:dyDescent="0.25">
      <c r="A15" s="11" t="s">
        <v>338</v>
      </c>
      <c r="B15" s="15" t="s">
        <v>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Pages</vt:lpstr>
      <vt:lpstr>Summary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OP DIGITAL</cp:lastModifiedBy>
  <dcterms:created xsi:type="dcterms:W3CDTF">2026-10-01T19:37:12Z</dcterms:created>
  <dcterms:modified xsi:type="dcterms:W3CDTF">2026-10-01T19:37:17Z</dcterms:modified>
</cp:coreProperties>
</file>