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ilbd\repos\ipp-updated\docs\"/>
    </mc:Choice>
  </mc:AlternateContent>
  <xr:revisionPtr revIDLastSave="0" documentId="13_ncr:1_{6D4D0BB7-A446-4F86-AA3A-64ADA71C3B14}" xr6:coauthVersionLast="47" xr6:coauthVersionMax="47" xr10:uidLastSave="{00000000-0000-0000-0000-000000000000}"/>
  <bookViews>
    <workbookView xWindow="-120" yWindow="-120" windowWidth="29040" windowHeight="18240" xr2:uid="{00000000-000D-0000-FFFF-FFFF00000000}"/>
  </bookViews>
  <sheets>
    <sheet name="Pages" sheetId="1" r:id="rId1"/>
    <sheet name="Summary" sheetId="2" r:id="rId2"/>
    <sheet name="Legend" sheetId="3" r:id="rId3"/>
  </sheets>
  <definedNames>
    <definedName name="_xlnm._FilterDatabase" localSheetId="0" hidden="1">Pages!$A$4:$Y$44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2" l="1"/>
  <c r="B34" i="2"/>
  <c r="D33" i="2"/>
  <c r="B33" i="2"/>
  <c r="D32" i="2"/>
  <c r="B32" i="2"/>
  <c r="D31" i="2"/>
  <c r="B31" i="2"/>
  <c r="D30" i="2"/>
  <c r="B30" i="2"/>
  <c r="D29" i="2"/>
  <c r="B29" i="2"/>
  <c r="D28" i="2"/>
  <c r="B28" i="2"/>
  <c r="D27" i="2"/>
  <c r="B27" i="2"/>
  <c r="D26" i="2"/>
  <c r="B26" i="2"/>
  <c r="B22" i="2"/>
  <c r="B21" i="2"/>
  <c r="B20" i="2"/>
  <c r="B19" i="2"/>
  <c r="B18" i="2"/>
  <c r="B17" i="2"/>
  <c r="B16" i="2"/>
  <c r="B12" i="2"/>
  <c r="B11" i="2"/>
  <c r="B10" i="2"/>
  <c r="B5" i="2"/>
  <c r="C16" i="2" s="1"/>
  <c r="T44" i="1"/>
  <c r="T43" i="1"/>
  <c r="T42" i="1"/>
  <c r="T41" i="1"/>
  <c r="T40" i="1"/>
  <c r="T39" i="1"/>
  <c r="T38" i="1"/>
  <c r="T37" i="1"/>
  <c r="T36" i="1"/>
  <c r="T35" i="1"/>
  <c r="T34" i="1"/>
  <c r="T33" i="1"/>
  <c r="T32" i="1"/>
  <c r="T31" i="1"/>
  <c r="T30" i="1"/>
  <c r="T29" i="1"/>
  <c r="T28" i="1"/>
  <c r="T27" i="1"/>
  <c r="C26" i="2" s="1"/>
  <c r="T26" i="1"/>
  <c r="T25" i="1"/>
  <c r="T24" i="1"/>
  <c r="T23" i="1"/>
  <c r="T22" i="1"/>
  <c r="T21" i="1"/>
  <c r="T20" i="1"/>
  <c r="T19" i="1"/>
  <c r="T18" i="1"/>
  <c r="T17" i="1"/>
  <c r="T16" i="1"/>
  <c r="T15" i="1"/>
  <c r="T14" i="1"/>
  <c r="T13" i="1"/>
  <c r="T12" i="1"/>
  <c r="T11" i="1"/>
  <c r="T10" i="1"/>
  <c r="C28" i="2" s="1"/>
  <c r="T9" i="1"/>
  <c r="T8" i="1"/>
  <c r="T7" i="1"/>
  <c r="T6" i="1"/>
  <c r="T5" i="1"/>
  <c r="C32" i="2" l="1"/>
  <c r="C29" i="2"/>
  <c r="C30" i="2"/>
  <c r="E30" i="2" s="1"/>
  <c r="C33" i="2"/>
  <c r="B9" i="2"/>
  <c r="C31" i="2"/>
  <c r="C34" i="2"/>
  <c r="E29" i="2"/>
  <c r="E28" i="2"/>
  <c r="E31" i="2"/>
  <c r="E33" i="2"/>
  <c r="E32" i="2"/>
  <c r="E26" i="2"/>
  <c r="E34" i="2"/>
  <c r="C17" i="2"/>
  <c r="C27" i="2"/>
  <c r="E27" i="2" s="1"/>
  <c r="C18" i="2"/>
  <c r="C19" i="2"/>
  <c r="B6" i="2"/>
  <c r="C20" i="2"/>
  <c r="B7" i="2"/>
  <c r="B8" i="2"/>
  <c r="C21" i="2"/>
  <c r="C22" i="2"/>
</calcChain>
</file>

<file path=xl/sharedStrings.xml><?xml version="1.0" encoding="utf-8"?>
<sst xmlns="http://schemas.openxmlformats.org/spreadsheetml/2006/main" count="805" uniqueCount="420">
  <si>
    <t>IPP Next 39 Priorities: Landing Page Status Tracker (40 pages)</t>
  </si>
  <si>
    <t>Source list: 'Priority Equipment Types - Next 39 Priorities (1-39).xlsx' (client, 2026-10-01). Priority 19 (Dryer-Air) is two pages, so 39 priorities = 40 pages. Batch 0 = the approved pilot. Yellow columns are for the IPP team to edit; everything else is maintained by the build.</t>
  </si>
  <si>
    <t>Priority</t>
  </si>
  <si>
    <t>Batch</t>
  </si>
  <si>
    <t>Client Group</t>
  </si>
  <si>
    <t>Client Subgroup</t>
  </si>
  <si>
    <t>Page</t>
  </si>
  <si>
    <t>Live / Proposed URL</t>
  </si>
  <si>
    <t>IMS Category</t>
  </si>
  <si>
    <t>IMS Listing Count</t>
  </si>
  <si>
    <t>Units on Page</t>
  </si>
  <si>
    <t>Units with Photos</t>
  </si>
  <si>
    <t>Primary Keyword</t>
  </si>
  <si>
    <t>Primary KW Volume (US)</t>
  </si>
  <si>
    <t>IMS Inventory Scrape</t>
  </si>
  <si>
    <t>Query Network (Ahrefs)</t>
  </si>
  <si>
    <t>Content Written</t>
  </si>
  <si>
    <t>Content Checks</t>
  </si>
  <si>
    <t>Page Built</t>
  </si>
  <si>
    <t>Client Review Doc</t>
  </si>
  <si>
    <t>Deployed to Vercel</t>
  </si>
  <si>
    <t>Overall Status</t>
  </si>
  <si>
    <t>Client Review</t>
  </si>
  <si>
    <t>Review Page (Vercel)</t>
  </si>
  <si>
    <t>Repo Page</t>
  </si>
  <si>
    <t>Last Updated</t>
  </si>
  <si>
    <t>Notes / Risks</t>
  </si>
  <si>
    <t>1</t>
  </si>
  <si>
    <t>Centrifuge-Lab</t>
  </si>
  <si>
    <t>Lab Centrifuges</t>
  </si>
  <si>
    <t>https://internationalprocessplants.com/process-equipment/centrifuge/lab-centrifuge/</t>
  </si>
  <si>
    <t>https://ims.internationalprocessplants.com/inventory/search/equipment/lab-centrifuge</t>
  </si>
  <si>
    <t>lab centrifuge</t>
  </si>
  <si>
    <t>Done</t>
  </si>
  <si>
    <t>Not sent</t>
  </si>
  <si>
    <t>https://international-process-plants-update-one.vercel.app/equipment/centrifuge/lab-centrifuge/</t>
  </si>
  <si>
    <t>equipment/centrifuge/lab-centrifuge/INTERNAL-REVIEW-lab-centrifuge.html</t>
  </si>
  <si>
    <t>2026-10-02</t>
  </si>
  <si>
    <t>Built. Only 5 units, all process-scale (Carr Centritech Centritec Cell 8, Sharples Type 1P, a beaker centrifuge), not benchtop instruments; the copy says so. 'lab centrifuge' and 'ultracentrifuge' demand is lab-instrument (Beckman, Thermo), so the ultracentrifuge terms are excluded. No size or condition tabs (all used). 2026-10-02: live hero, logo strip and tabs; blog and intro links removed; hero predicates varied. Hero opener rewritten on 2026-10-02 to the client's 'Buying ... from IPP [verb] ... while [verb]ing issues like ...' format; review doc re-issued. Live white header with the IPP logo and menu added on 2026-10-02 (adbac2f).</t>
  </si>
  <si>
    <t>2</t>
  </si>
  <si>
    <t>Centrifuge-Misc. &amp; Hydraulic</t>
  </si>
  <si>
    <t>Hydraulic and Miscellaneous Centrifuges</t>
  </si>
  <si>
    <t>https://internationalprocessplants.com/process-equipment/centrifuge/misc-and-hydraulic-centrifuge/</t>
  </si>
  <si>
    <t>https://ims.internationalprocessplants.com/inventory/search/equipment/misc-and-hydraulic-centrifuge</t>
  </si>
  <si>
    <t>tubular centrifuge</t>
  </si>
  <si>
    <t>https://international-process-plants-update-one.vercel.app/equipment/centrifuge/misc-and-hydraulic-centrifuge/</t>
  </si>
  <si>
    <t>equipment/centrifuge/misc-and-hydraulic-centrifuge/INTERNAL-REVIEW-misc-and-hydraulic-centrifuge.html</t>
  </si>
  <si>
    <t>Built as 'Tubular, Podbielniak &amp; Hydraulic Centrifuges': IMS's misc bucket is Sharples tubular super centrifuges, Podbielniak extractors and hydraulic drives. 'Hydraulic centrifuge' has no search demand; the page targets tubular / super / sharples / centrifugal extractor. 2026-10-02: live hero, logo strip and tabs; blog and intro links removed; hero predicates varied. Hero opener rewritten on 2026-10-02 to the client's 'Buying ... from IPP [verb] ... while [verb]ing issues like ...' format; review doc re-issued. Live white header with the IPP logo and menu added on 2026-10-02 (adbac2f).</t>
  </si>
  <si>
    <t>3</t>
  </si>
  <si>
    <t>Centrifuge-Peeler</t>
  </si>
  <si>
    <t>Peeler Centrifuges</t>
  </si>
  <si>
    <t>https://internationalprocessplants.com/process-equipment/centrifuge/peeler-centrifuge/</t>
  </si>
  <si>
    <t>https://ims.internationalprocessplants.com/inventory/search/equipment/peeler-centrifuge</t>
  </si>
  <si>
    <t>peeler centrifuge</t>
  </si>
  <si>
    <t>https://international-process-plants-update-one.vercel.app/equipment/centrifuge/peeler-centrifuge/</t>
  </si>
  <si>
    <t>equipment/centrifuge/peeler-centrifuge/INTERNAL-REVIEW-peeler-centrifuge.html</t>
  </si>
  <si>
    <t>Built. IPP's blog already ranks for 'what is a peeler centrifuge' and 'peeler vs pusher', so the FAQ answers briefly and links to those guides. 2026-10-02: live hero, logo strip and tabs; blog and intro links removed; hero predicates varied. Hero opener rewritten on 2026-10-02 to the client's 'Buying ... from IPP [verb] ... while [verb]ing issues like ...' format; review doc re-issued. Live white header with the IPP logo and menu added on 2026-10-02 (adbac2f).</t>
  </si>
  <si>
    <t>4</t>
  </si>
  <si>
    <t>Centrifuge-Pusher</t>
  </si>
  <si>
    <t>Parts Only</t>
  </si>
  <si>
    <t>Pusher Centrifuge Parts</t>
  </si>
  <si>
    <t>https://internationalprocessplants.com/process-equipment/centrifuge/pusher-centrifuge-parts/</t>
  </si>
  <si>
    <t>https://ims.internationalprocessplants.com/inventory/search/equipment/pusher-centrifuge/parts-only</t>
  </si>
  <si>
    <t>pusher centrifuge parts</t>
  </si>
  <si>
    <t>https://international-process-plants-update-one.vercel.app/equipment/centrifuge/pusher-centrifuge-parts/</t>
  </si>
  <si>
    <t>equipment/centrifuge/pusher-centrifuge-parts/INTERNAL-REVIEW-pusher-centrifuge-parts.html</t>
  </si>
  <si>
    <t>Built. 21 parts listings, only 1 with a photo, mostly Krauss Maffei SB1000/2 components. Part type comes from the IMS description, and browse cards use IMS keyword search. Generic 'centrifuge parts' demand is lab-instrument parts, so it is excluded. 2026-10-02: live hero, logo strip and tabs; blog and intro links removed; hero predicates varied. Hero opener rewritten on 2026-10-02 to the client's 'Buying ... from IPP [verb] ... while [verb]ing issues like ...' format; review doc re-issued. Live white header with the IPP logo and menu added on 2026-10-02 (adbac2f).</t>
  </si>
  <si>
    <t>5</t>
  </si>
  <si>
    <t>Pusher Centrifuges</t>
  </si>
  <si>
    <t>https://internationalprocessplants.com/process-equipment/centrifuge/pusher-centrifuge/</t>
  </si>
  <si>
    <t>https://ims.internationalprocessplants.com/inventory/search/equipment/pusher-centrifuge</t>
  </si>
  <si>
    <t>pusher centrifuge</t>
  </si>
  <si>
    <t>https://international-process-plants-update-one.vercel.app/equipment/centrifuge/pusher-centrifuge/</t>
  </si>
  <si>
    <t>equipment/centrifuge/pusher-centrifuge/INTERNAL-REVIEW-pusher-centrifuge.html</t>
  </si>
  <si>
    <t>Built from 26 complete machines (the 21 parts-only listings are on priority 4). The IMS 'Browse All' links show IMS's own pusher search, which includes the parts. 2026-10-02: live hero, logo strip and tabs; blog and intro links removed; hero predicates varied. Hero opener rewritten on 2026-10-02 to the client's 'Buying ... from IPP [verb] ... while [verb]ing issues like ...' format; review doc re-issued. Live white header with the IPP logo and menu added on 2026-10-02 (adbac2f).</t>
  </si>
  <si>
    <t>6</t>
  </si>
  <si>
    <t>Centrifuge-Solid Bowl-Decanter</t>
  </si>
  <si>
    <t>Decanter Centrifuge Parts</t>
  </si>
  <si>
    <t>https://internationalprocessplants.com/process-equipment/centrifuge/solid-bowl-decanter-centrifuge-parts/</t>
  </si>
  <si>
    <t>https://ims.internationalprocessplants.com/inventory/search/equipment/solid-bowl-decanter-centrifuge/parts-only</t>
  </si>
  <si>
    <t>decanter centrifuge parts</t>
  </si>
  <si>
    <t>https://international-process-plants-update-one.vercel.app/equipment/centrifuge/solid-bowl-decanter-centrifuge-parts/</t>
  </si>
  <si>
    <t>equipment/centrifuge/solid-bowl-decanter-centrifuge-parts/INTERNAL-REVIEW-solid-bowl-decanter-centrifuge-parts.html</t>
  </si>
  <si>
    <t>Built. 7 parts listings, all with photos: scroll conveyors (Sharples P3400, Alfa Laval NX314, Dorr Oliver for the 16L and Z3L), Sharples P-2000 and Sangerhausen rotating assemblies, and a Bird gearbox. Part type comes from the IMS description. Complete-machine and repair queries are excluded (the live decanter page owns machines). Hero opener rewritten on 2026-10-02 to the client's 'Buying ... from IPP [verb] ... while [verb]ing issues like ...' format; review doc re-issued. Live white header with the IPP logo and menu added on 2026-10-02 (adbac2f).</t>
  </si>
  <si>
    <t>7</t>
  </si>
  <si>
    <t>Dryer- Nauta / Conical</t>
  </si>
  <si>
    <t>Nauta Dryers</t>
  </si>
  <si>
    <t>https://internationalprocessplants.com/process-equipment/dryer/nauta-dryer/</t>
  </si>
  <si>
    <t>https://ims.internationalprocessplants.com/inventory/search/equipment/nauta-dryer</t>
  </si>
  <si>
    <t>nauta dryer</t>
  </si>
  <si>
    <t>https://international-process-plants-update-one.vercel.app/equipment/dryer/nauta-dryer/</t>
  </si>
  <si>
    <t>equipment/dryer/nauta-dryer/INTERNAL-REVIEW-nauta-dryer.html</t>
  </si>
  <si>
    <t>Built. 11 units from 9 OEMs (Krauss Maffei, Bolz, Vrieco Nauta, Hosokawa Alpine and others). Nauta mixer terms are excluded (the live Nauta mixer page owns them); double cone terms belong to the twin shell page, linked from the comparison table. Hero opener rewritten on 2026-10-02 to the client's 'Buying ... from IPP [verb] ... while [verb]ing issues like ...' format; review doc re-issued. Live white header with the IPP logo and menu added on 2026-10-02 (adbac2f).</t>
  </si>
  <si>
    <t>8</t>
  </si>
  <si>
    <t>Dryer-Drum</t>
  </si>
  <si>
    <t>Drum Dryers</t>
  </si>
  <si>
    <t>https://internationalprocessplants.com/process-equipment/dryer/drum-dryer/</t>
  </si>
  <si>
    <t>https://ims.internationalprocessplants.com/inventory/search/equipment/drum-dryer</t>
  </si>
  <si>
    <t>drum dryer</t>
  </si>
  <si>
    <t>https://international-process-plants-update-one.vercel.app/equipment/dryer/drum-dryer/</t>
  </si>
  <si>
    <t>equipment/dryer/drum-dryer/INTERNAL-REVIEW-drum-dryer.html</t>
  </si>
  <si>
    <t>Built. 16 listings: Simon Dryers, Blaw Knox and Gouda single and double drum dryers plus unused spare drums. Household laundry dryer and rotary drum dryer terms are excluded. Hero opener rewritten on 2026-10-02 to the client's 'Buying ... from IPP [verb] ... while [verb]ing issues like ...' format; review doc re-issued. Live white header with the IPP logo and menu added on 2026-10-02 (adbac2f).</t>
  </si>
  <si>
    <t>9</t>
  </si>
  <si>
    <t>Dryer-Flash</t>
  </si>
  <si>
    <t>Flash Dryers</t>
  </si>
  <si>
    <t>https://internationalprocessplants.com/process-equipment/dryer/flash-dryer/</t>
  </si>
  <si>
    <t>https://ims.internationalprocessplants.com/inventory/search/equipment/flash-dryer</t>
  </si>
  <si>
    <t>industrial flash dryer</t>
  </si>
  <si>
    <t>https://international-process-plants-update-one.vercel.app/equipment/dryer/flash-dryer/</t>
  </si>
  <si>
    <t>equipment/dryer/flash-dryer/INTERNAL-REVIEW-flash-dryer.html</t>
  </si>
  <si>
    <t>Built (new URL, no live page). Only 4 units: APV Anhydro spin flash, Aljet, Hosokawa Alpine MDV-4, AKSH Engineering. Screen-printing flash dryers dominate 'flash dryer' demand, so the H1 says industrial. The IMS inlet-moisture fields and the Hosokawa evaporation field are mislabelled, so they are not published. Hero opener rewritten on 2026-10-02 to the client's 'Buying ... from IPP [verb] ... while [verb]ing issues like ...' format; review doc re-issued. Live white header with the IPP logo and menu added on 2026-10-02 (adbac2f).</t>
  </si>
  <si>
    <t>10</t>
  </si>
  <si>
    <t>Dryer-Porcupine</t>
  </si>
  <si>
    <t>Parts</t>
  </si>
  <si>
    <t>Porcupine Dryer Parts</t>
  </si>
  <si>
    <t>https://internationalprocessplants.com/process-equipment/dryer/porcupine-dryer-parts/</t>
  </si>
  <si>
    <t>https://ims.internationalprocessplants.com/inventory/search/equipment/porcupine-dryer/parts</t>
  </si>
  <si>
    <t>porcupine dryer parts</t>
  </si>
  <si>
    <t>https://international-process-plants-update-one.vercel.app/equipment/dryer/porcupine-dryer-parts/</t>
  </si>
  <si>
    <t>equipment/dryer/porcupine-dryer-parts/INTERNAL-REVIEW-porcupine-dryer-parts.html</t>
  </si>
  <si>
    <t>Built (new URL). 4 GPS listings: 3 troughs and a new shaft and flights set. 'porcupine dryer' demand belongs to the live porcupine dryer page, linked from an FAQ. Parts queries have no measured volume. The GPS/Bethlehem brand angle comes from IPP's own news post (not linked). Hero opener rewritten on 2026-10-02 to the client's 'Buying ... from IPP [verb] ... while [verb]ing issues like ...' format; review doc re-issued. Live white header with the IPP logo and menu added on 2026-10-02 (adbac2f).</t>
  </si>
  <si>
    <t>11</t>
  </si>
  <si>
    <t>Dryer-Rotary Hot Air</t>
  </si>
  <si>
    <t>Rotary Hot Air Dryers</t>
  </si>
  <si>
    <t>https://internationalprocessplants.com/process-equipment/dryer/rotary-hot-air-dryer/</t>
  </si>
  <si>
    <t>https://ims.internationalprocessplants.com/inventory/search/equipment/rotary-hot-air-dryer</t>
  </si>
  <si>
    <t>rotary dryer</t>
  </si>
  <si>
    <t>https://international-process-plants-update-one.vercel.app/equipment/dryer/rotary-hot-air-dryer/</t>
  </si>
  <si>
    <t>equipment/dryer/rotary-hot-air-dryer/INTERNAL-REVIEW-rotary-hot-air-dryer.html</t>
  </si>
  <si>
    <t>Built from 4 units: a Standard Steel louver dryer and a Patterson Kelly unit in stainless steel 304, a Link Belt in carbon steel, and a refurbished stainless steel 316 co-current dryer. The refurbished listing says both 'direct fired' and steam; the copy uses steam. Comparison links to the live rotary steam tube dryer page. Manufacturer, design, maintenance, triple-pass and household vent terms excluded. Live white header with the IPP logo and menu added on 2026-10-02 (adbac2f).</t>
  </si>
  <si>
    <t>12</t>
  </si>
  <si>
    <t>Dryer-Shelf</t>
  </si>
  <si>
    <t>Shelf Dryers</t>
  </si>
  <si>
    <t>https://internationalprocessplants.com/process-equipment/dryer/shelf-dryer/</t>
  </si>
  <si>
    <t>https://ims.internationalprocessplants.com/inventory/search/equipment/shelf-dryer</t>
  </si>
  <si>
    <t>vacuum tray dryer</t>
  </si>
  <si>
    <t>https://international-process-plants-update-one.vercel.app/equipment/dryer/shelf-dryer/</t>
  </si>
  <si>
    <t>equipment/dryer/shelf-dryer/INTERNAL-REVIEW-shelf-dryer.html</t>
  </si>
  <si>
    <t>Built from 23 listings: 22 good used vacuum shelf and tray dryers and a new GPS vacuum tray dryer. The IMS shelf-dryer search also returns oven dryers; they stay off the page. The Stokes hot water generator is described as an accessory. Unit defect notes and mis-entered IMS dimensions are not repeated. The IMS Leybold manufacturer filter is broken (returns all 32), so Leybold has no tab. Pharmaceutical, rotary tray, household and parts terms excluded. Live white header with the IPP logo and menu added on 2026-10-02 (adbac2f).</t>
  </si>
  <si>
    <t>13</t>
  </si>
  <si>
    <t>Dryer-Thin Film</t>
  </si>
  <si>
    <t>Thin Film Dryers</t>
  </si>
  <si>
    <t>https://internationalprocessplants.com/process-equipment/dryer/thin-film-dryer/</t>
  </si>
  <si>
    <t>https://ims.internationalprocessplants.com/inventory/search/equipment/thin-film-dryer</t>
  </si>
  <si>
    <t>thin film dryer</t>
  </si>
  <si>
    <t>https://international-process-plants-update-one.vercel.app/equipment/dryer/thin-film-dryer/</t>
  </si>
  <si>
    <t>equipment/dryer/thin-film-dryer/INTERNAL-REVIEW-thin-film-dryer.html</t>
  </si>
  <si>
    <t>Built from 15 units: Luwa SMS DK600, D-850 and 1000/6000 dryers and a Buss-SMS-Canzler D-015, all stainless. IMS lists the DK600 units as coolers; an FAQ covers cooling duty. Thin film evaporator terms are excluded (IPP's evaporator page and blog own them); the comparison links to the live evaporator page. Live white header with the IPP logo and menu added on 2026-10-02 (adbac2f).</t>
  </si>
  <si>
    <t>14</t>
  </si>
  <si>
    <t>Dryer-Thermal Disc</t>
  </si>
  <si>
    <t>Thermal Disc Dryers</t>
  </si>
  <si>
    <t>https://internationalprocessplants.com/process-equipment/dryer/thermal-disc-dryer/</t>
  </si>
  <si>
    <t>https://ims.internationalprocessplants.com/inventory/search/equipment/thermal-disc-dryer</t>
  </si>
  <si>
    <t>horizontal disc dryer</t>
  </si>
  <si>
    <t>https://international-process-plants-update-one.vercel.app/equipment/dryer/thermal-disc-dryer/</t>
  </si>
  <si>
    <t>equipment/dryer/thermal-disc-dryer/INTERNAL-REVIEW-thermal-disc-dryer.html</t>
  </si>
  <si>
    <t>Built from 8 units: unused surplus Bepex TorusDisc TD48-9 units, a Bepex Model 60-14, a Bethlehem processor and a Strong Scott TDJ. IMS lists the TD48-9 units as coolers; unit 239472 has no IMS data. Comparison links to the live porcupine dryer page. Sludge, rendering and fish meal (application) terms excluded. Live white header with the IPP logo and menu added on 2026-10-02 (adbac2f).</t>
  </si>
  <si>
    <t>15</t>
  </si>
  <si>
    <t>Dryer-Spherical</t>
  </si>
  <si>
    <t>Spherical Dryers</t>
  </si>
  <si>
    <t>https://internationalprocessplants.com/process-equipment/dryer/spherical-dryer/</t>
  </si>
  <si>
    <t>https://ims.internationalprocessplants.com/inventory/search/equipment/spherical-dryer</t>
  </si>
  <si>
    <t>spherical dryer</t>
  </si>
  <si>
    <t>https://international-process-plants-update-one.vercel.app/equipment/dryer/spherical-dryer/</t>
  </si>
  <si>
    <t>equipment/dryer/spherical-dryer/INTERNAL-REVIEW-spherical-dryer.html</t>
  </si>
  <si>
    <t>Built from 3 units: two Rosenmund AG RKT-2000 dryers and a Pierre Guerin Turbosphere TS200, jacketed, stainless steel 316L. Rosenmund vessel and jacket pressures are not published (the IMS fields look swapped or inconsistent) and the IMS model field holds the town. The comparison links to the Nauta dryer page, which is new and not live yet, so publish them together. Live white header with the IPP logo and menu added on 2026-10-02 (adbac2f).</t>
  </si>
  <si>
    <t>16</t>
  </si>
  <si>
    <t>Dryer-Pan</t>
  </si>
  <si>
    <t>Pan Dryers</t>
  </si>
  <si>
    <t>https://internationalprocessplants.com/process-equipment/dryer/pan-dryer/</t>
  </si>
  <si>
    <t>https://ims.internationalprocessplants.com/inventory/search/equipment/pan-dryer</t>
  </si>
  <si>
    <t>pan dryer</t>
  </si>
  <si>
    <t>https://international-process-plants-update-one.vercel.app/equipment/dryer/pan-dryer/</t>
  </si>
  <si>
    <t>equipment/dryer/pan-dryer/INTERNAL-REVIEW-pan-dryer.html</t>
  </si>
  <si>
    <t>Built from 7 units: Buflovak/Blaw Knox Grainer pans (no photos on IMS), a Guedu 3500, a Bonazzi Mario 881 LT 1000 and an unbranded stainless steel 304 pan. Only design capacity is published: two listings give a working capacity above it. No listing names an agitator, so agitation is described as the design type only. Comparison links to the live rotary vacuum dryer page.</t>
  </si>
  <si>
    <t>17</t>
  </si>
  <si>
    <t>Dryer-Oven</t>
  </si>
  <si>
    <t>Oven Dryers</t>
  </si>
  <si>
    <t>https://internationalprocessplants.com/process-equipment/dryer/oven-dryer/</t>
  </si>
  <si>
    <t>https://ims.internationalprocessplants.com/inventory/search/equipment/oven-dryer</t>
  </si>
  <si>
    <t>drying oven</t>
  </si>
  <si>
    <t>https://international-process-plants-update-one.vercel.app/equipment/dryer/oven-dryer/</t>
  </si>
  <si>
    <t>equipment/dryer/oven-dryer/INTERNAL-REVIEW-oven-dryer.html</t>
  </si>
  <si>
    <t>Built as 'Industrial Drying Ovens' from 11 units: Hedinair and Lewco drum warming ovens, Amarc drum and IBC ovens, Barlow Whitney vacuum ovens, a Lytzen shelf oven, a Caltherm two-chamber oven and Normandie-Labo and Better Built lab ovens. The Caltherm's -16.7 C rating is an IMS error and stays off the page. The comparison links to the shelf dryer page (new URL, publish together). Lab-instrument brands and drum heater blankets are excluded.</t>
  </si>
  <si>
    <t>18</t>
  </si>
  <si>
    <t>Dryer-Flaker Drum and Belt</t>
  </si>
  <si>
    <t>Flaker Drum and Belt Dryers</t>
  </si>
  <si>
    <t>https://internationalprocessplants.com/process-equipment/dryer/flaker-drum-and-belt-dryer/</t>
  </si>
  <si>
    <t>https://ims.internationalprocessplants.com/inventory/search/equipment/flaker-drum-and-belt-dryer</t>
  </si>
  <si>
    <t>drum flaker</t>
  </si>
  <si>
    <t>https://international-process-plants-update-one.vercel.app/equipment/dryer/flaker-drum-and-belt-dryer/</t>
  </si>
  <si>
    <t>equipment/dryer/flaker-drum-and-belt-dryer/INTERNAL-REVIEW-flaker-drum-and-belt-dryer.html</t>
  </si>
  <si>
    <t>Built as 'Drum &amp; Belt Flakers' from 24 listings: belt flakers and pastillators (Sandvik, Berndorf, Kaiser, Steel Belt Systems and others) and drum flakers (Simon Dryers, APV Mitchell, Blaw Knox, Gouda and others), plus two spare drums. First page with drum/belt type tabs. Three mis-entered IMS areas or widths (Simon 228 m2, APV 28 mm and 26 m2, MBT 4 m2) are kept off the cards. IMS has no drum filter, so the drum tab links to the whole category. The FAQ links the drum dryer page (new URL). Ice flakers, grain flaking mills and Jayden Flaker are excluded.</t>
  </si>
  <si>
    <t>19a</t>
  </si>
  <si>
    <t>Dryer-Air</t>
  </si>
  <si>
    <t>Desiccant</t>
  </si>
  <si>
    <t>Desiccant Air Dryers</t>
  </si>
  <si>
    <t>https://internationalprocessplants.com/process-equipment/dryer/desiccant/</t>
  </si>
  <si>
    <t>https://ims.internationalprocessplants.com/inventory/search/equipment/air-dryer/desiccant</t>
  </si>
  <si>
    <t>desiccant air dryer</t>
  </si>
  <si>
    <t>https://international-process-plants-update-one.vercel.app/equipment/dryer/desiccant/</t>
  </si>
  <si>
    <t>equipment/dryer/desiccant/INTERNAL-REVIEW-desiccant.html</t>
  </si>
  <si>
    <t>Built from 4 listings: PneumaTech PE-3100, Arrow RH212A heatless, a Sullair self-recharging dryer and one listing with no data. Dew points and purge figures come from the SERP evidence (Sullair, Atlas Copco). The comparison links the refrigerated page (new URL, publish together). Plastic resin dryers, rentals and inline cartridges are excluded.</t>
  </si>
  <si>
    <t>19b</t>
  </si>
  <si>
    <t>Refrigerant/Heat</t>
  </si>
  <si>
    <t>Refrigerated Air Dryers</t>
  </si>
  <si>
    <t>https://internationalprocessplants.com/process-equipment/dryer/refrigerant-heat/</t>
  </si>
  <si>
    <t>https://ims.internationalprocessplants.com/inventory/search/equipment/air-dryer/refrigerant-heat</t>
  </si>
  <si>
    <t>refrigerated air dryer</t>
  </si>
  <si>
    <t>https://international-process-plants-update-one.vercel.app/equipment/dryer/refrigerant-heat/</t>
  </si>
  <si>
    <t>equipment/dryer/refrigerant-heat/INTERNAL-REVIEW-refrigerant-heat.html</t>
  </si>
  <si>
    <t>Built from 12 listings: Atlas Copco FD units, Hankinson 801600, Ingersoll Rand DXR 2000W and TS 2000, M.T.A DE235 HP and a 1000DES/HYD. The IMS category also holds an Atlas Copco CD335+ (a desiccant model, named without a type), an Oriad electric dryer and natural gas air heater skids. The IMS Ingersoll Rand filter returns the whole category, so it has no tab. The FAQ links the desiccant page (new URL).</t>
  </si>
  <si>
    <t>20</t>
  </si>
  <si>
    <t>Heat Exchanger</t>
  </si>
  <si>
    <t>Air Fin</t>
  </si>
  <si>
    <t>Air Fin Heat Exchangers</t>
  </si>
  <si>
    <t>https://internationalprocessplants.com/process-equipment/heat-exchanger/air-fin/</t>
  </si>
  <si>
    <t>https://ims.internationalprocessplants.com/inventory/search/equipment/heat-exchanger/air-fin</t>
  </si>
  <si>
    <t>air cooled heat exchanger</t>
  </si>
  <si>
    <t>https://international-process-plants-update-one.vercel.app/equipment/heat-exchanger/air-fin/</t>
  </si>
  <si>
    <t>equipment/heat-exchanger/air-fin/INTERNAL-REVIEW-air-fin.html</t>
  </si>
  <si>
    <t>Built as 'Air Cooled Heat Exchangers' from 5 units: Balke Durr fin fan coolers of 2,100 m2, Hiross Hypercool units and a Finnco ambient air vaporizer. Duty and gas-service notes stay off the page. Comparison links the live shell and tube page. Cleaning, fouling and maintenance terms are excluded (client rule).</t>
  </si>
  <si>
    <t>21</t>
  </si>
  <si>
    <t>Block</t>
  </si>
  <si>
    <t>Block Heat Exchangers</t>
  </si>
  <si>
    <t>https://internationalprocessplants.com/process-equipment/heat-exchanger/block/</t>
  </si>
  <si>
    <t>https://ims.internationalprocessplants.com/inventory/search/equipment/heat-exchanger/block</t>
  </si>
  <si>
    <t>graphite heat exchanger</t>
  </si>
  <si>
    <t>https://international-process-plants-update-one.vercel.app/equipment/heat-exchanger/block/</t>
  </si>
  <si>
    <t>equipment/heat-exchanger/block/INTERNAL-REVIEW-block.html</t>
  </si>
  <si>
    <t>Built as 'Graphite Block Heat Exchangers' from 94 listings: Ralph Coidan, Carbone Lorraine, Vicarb, GAB Neumann, SGL Carbon and others, plus Karbate tube units and an unused Chart BAHX. One listing's test note stays off (no-defects rule). IMS files Vicarb, Carbone and GAB units under several maker records, so those tabs link IMS keyword searches. Manufacturer domains (SGL) were kept out of the competitor set so the brand blocklist does not block them.</t>
  </si>
  <si>
    <t>22</t>
  </si>
  <si>
    <t>Plate and Frame</t>
  </si>
  <si>
    <t>Plate and Frame Heat Exchangers</t>
  </si>
  <si>
    <t>https://internationalprocessplants.com/process-equipment/heat-exchanger/plate-and-frame/</t>
  </si>
  <si>
    <t>https://ims.internationalprocessplants.com/inventory/search/equipment/heat-exchanger/plate-and-frame</t>
  </si>
  <si>
    <t>plate and frame heat exchanger</t>
  </si>
  <si>
    <t>https://international-process-plants-update-one.vercel.app/equipment/heat-exchanger/plate-and-frame/</t>
  </si>
  <si>
    <t>equipment/heat-exchanger/plate-and-frame/INTERNAL-REVIEW-plate-and-frame.html</t>
  </si>
  <si>
    <t>Pilot. Rev 4 approved internally on 2026-10-01 (rev 1 copy, live reactor layout, IMS listing). It is the model for the other 39 pages. 2026-10-02: live hero, logo strip and tabs; blog and intro links removed; hero predicates varied. Hero opener rewritten on 2026-10-02 to the client's 'Buying ... from IPP [verb] ... while [verb]ing issues like ...' format; review doc re-issued. Live white header with the IPP logo and menu added on 2026-10-02 (adbac2f).</t>
  </si>
  <si>
    <t>23</t>
  </si>
  <si>
    <t>Spiral</t>
  </si>
  <si>
    <t>Spiral Heat Exchangers</t>
  </si>
  <si>
    <t>https://internationalprocessplants.com/process-equipment/heat-exchanger/spiral/</t>
  </si>
  <si>
    <t>https://ims.internationalprocessplants.com/inventory/search/equipment/heat-exchanger/spiral</t>
  </si>
  <si>
    <t>spiral heat exchanger</t>
  </si>
  <si>
    <t>https://international-process-plants-update-one.vercel.app/equipment/heat-exchanger/spiral/</t>
  </si>
  <si>
    <t>equipment/heat-exchanger/spiral/INTERNAL-REVIEW-spiral.html</t>
  </si>
  <si>
    <t>Built from 67 listings: Alfa Laval spiral plate units (to 205.8 m2), Kuhni coil exchangers, QVF and Schott glass, GAB Neumann graphite, GEA Canzler, American Heat Reclaiming and others. Comparison: spiral plate vs spiral tube (both in stock). Alfa Laval and American Heat Reclaiming tabs link keyword searches (spelling variants on IMS).</t>
  </si>
  <si>
    <t>24</t>
  </si>
  <si>
    <t>Welded Plate</t>
  </si>
  <si>
    <t>Welded Plate Heat Exchangers</t>
  </si>
  <si>
    <t>https://internationalprocessplants.com/process-equipment/heat-exchanger/welded-plate/</t>
  </si>
  <si>
    <t>https://ims.internationalprocessplants.com/inventory/search/equipment/heat-exchanger/welded-plate</t>
  </si>
  <si>
    <t>welded plate heat exchanger</t>
  </si>
  <si>
    <t>https://international-process-plants-update-one.vercel.app/equipment/heat-exchanger/welded-plate/</t>
  </si>
  <si>
    <t>equipment/heat-exchanger/welded-plate/INTERNAL-REVIEW-welded-plate.html</t>
  </si>
  <si>
    <t>Built from 31 listings: Alfa Laval Compabloc CP30, CPL30, CPL20, CPF, CPK40 and unused CPX50 and CPX75 units, plus Kapp. The CPX50 plate grade is not published (IMS fields disagree). Comparison links the plate and frame pilot page (new URL, publish together). Semi-welded terms are excluded (no units).</t>
  </si>
  <si>
    <t>25</t>
  </si>
  <si>
    <t>Homogenizer</t>
  </si>
  <si>
    <t>Homogenizers</t>
  </si>
  <si>
    <t>https://internationalprocessplants.com/process-equipment/homogenizer/</t>
  </si>
  <si>
    <t>https://ims.internationalprocessplants.com/inventory/search/equipment/homogenizer</t>
  </si>
  <si>
    <t>industrial homogenizer</t>
  </si>
  <si>
    <t>https://international-process-plants-update-one.vercel.app/equipment/homogenizer/</t>
  </si>
  <si>
    <t>equipment/homogenizer/INTERNAL-REVIEW-homogenizer.html</t>
  </si>
  <si>
    <t>Built as 'Industrial Homogenizers' from 5 units: SPX, Rannie and APV Gaulin high-pressure machines and BWS and Hoelschertechnik rotor-stator units, split by type tabs on IMS pressure filters. Lab-instrument and application terms are excluded; 'homogenizer' (1,500) is a lab-heavy head term.</t>
  </si>
  <si>
    <t>26</t>
  </si>
  <si>
    <t>Incinerator</t>
  </si>
  <si>
    <t>Incinerators</t>
  </si>
  <si>
    <t>https://internationalprocessplants.com/process-equipment/incinerator/</t>
  </si>
  <si>
    <t>https://ims.internationalprocessplants.com/inventory/search/equipment/incinerator</t>
  </si>
  <si>
    <t>thermal oxidizer</t>
  </si>
  <si>
    <t>https://international-process-plants-update-one.vercel.app/equipment/incinerator/</t>
  </si>
  <si>
    <t>equipment/incinerator/INTERNAL-REVIEW-incinerator.html</t>
  </si>
  <si>
    <t>Built as 'Incinerators &amp; Thermal Oxidizers' around one good used Thermatrix ES-100 flameless thermal oxidizer, so the page leans on sourcing to specification. 'thermal oxidizer' (900) leads; animal, pet and cremation incinerator demand is excluded. Comparison: flameless vs direct-fired. IMS's ES-100 dimensions (47.2 m high) and 'Liquid' phase field are not credible and stay off the page.</t>
  </si>
  <si>
    <t>27</t>
  </si>
  <si>
    <t>Kettle</t>
  </si>
  <si>
    <t>Kettles</t>
  </si>
  <si>
    <t>https://internationalprocessplants.com/process-equipment/kettle/</t>
  </si>
  <si>
    <t>https://ims.internationalprocessplants.com/inventory/search/equipment/kettle</t>
  </si>
  <si>
    <t>steam jacketed kettle</t>
  </si>
  <si>
    <t>https://international-process-plants-update-one.vercel.app/equipment/kettle/</t>
  </si>
  <si>
    <t>equipment/kettle/INTERNAL-REVIEW-kettle.html</t>
  </si>
  <si>
    <t>Built as 'Steam Jacketed Kettles' from two good used Groen units (TA25SP mixer kettle, TDC/2-20 table-top kettle). Foodservice brands not in stock (Cleveland, Vulcan, Market Forge) are excluded. Comparison vs jacketed reactors links the live reactor hub. IMS's TDC jacket (carbon steel) and bottom-head (stainless steel 904) fields conflict with its 304 build, so only the overall material is published.</t>
  </si>
  <si>
    <t>28</t>
  </si>
  <si>
    <t>Kiln</t>
  </si>
  <si>
    <t>Kilns</t>
  </si>
  <si>
    <t>https://internationalprocessplants.com/process-equipment/kiln/</t>
  </si>
  <si>
    <t>https://ims.internationalprocessplants.com/inventory/search/equipment/kiln</t>
  </si>
  <si>
    <t>rotary kiln</t>
  </si>
  <si>
    <t>https://international-process-plants-update-one.vercel.app/equipment/kiln/</t>
  </si>
  <si>
    <t>equipment/kiln/INTERNAL-REVIEW-kiln.html</t>
  </si>
  <si>
    <t>Built as 'Rotary Kilns' from two good used units: a Bethlehem indirect-fired Inconel kiln and a nickel kiln with no maker named. 'rotary kiln' (2,100) leads; cement, lime, incineration and refractory demand is excluded. Comparison: indirect vs direct-fired. Firing type is stated only for the Bethlehem unit.</t>
  </si>
  <si>
    <t>29</t>
  </si>
  <si>
    <t>Mill</t>
  </si>
  <si>
    <t>Ball</t>
  </si>
  <si>
    <t>Ball Mills</t>
  </si>
  <si>
    <t>https://internationalprocessplants.com/process-equipment/mill/ball/</t>
  </si>
  <si>
    <t>https://ims.internationalprocessplants.com/inventory/search/equipment/mill/ball</t>
  </si>
  <si>
    <t>ball mill</t>
  </si>
  <si>
    <t>https://international-process-plants-update-one.vercel.app/equipment/mill/ball/</t>
  </si>
  <si>
    <t>equipment/mill/ball/INTERNAL-REVIEW-ball.html</t>
  </si>
  <si>
    <t>Built from good used Blaw Knox Ni-hard lined cylindrical mills, Hardinge conical mills, a TEMA vibratory mill, a rod mill and an Engineering Plastics pilot mill, with manufacturer tabs for Blaw Knox and Hardinge. Comparison: conical vs cylindrical. IMS's 25.4 mm rod-mill diameter and the Hardinge 'approximately 470 mm' ends stay off the page; no throughput claims.</t>
  </si>
  <si>
    <t>30</t>
  </si>
  <si>
    <t>Colloid</t>
  </si>
  <si>
    <t>Colloid Mills</t>
  </si>
  <si>
    <t>https://internationalprocessplants.com/process-equipment/mill/colloid/</t>
  </si>
  <si>
    <t>https://ims.internationalprocessplants.com/inventory/search/equipment/mill/colloid</t>
  </si>
  <si>
    <t>colloid mill</t>
  </si>
  <si>
    <t>https://international-process-plants-update-one.vercel.app/equipment/mill/colloid/</t>
  </si>
  <si>
    <t>equipment/mill/colloid/INTERNAL-REVIEW-colloid.html</t>
  </si>
  <si>
    <t>Built from IMS's mixed colloid category: rotor-stator colloid and dispersion mills (IKA-Werk, Premier), Peters &amp; Smith attritors and Alpine, Williams, Reitz and Bepex hammer mills, split by type tabs, plus a new GPS Multi-Mill. No condition tabs. Comparison vs high-pressure homogenizers links the new homogenizer page.</t>
  </si>
  <si>
    <t>31</t>
  </si>
  <si>
    <t>Kady</t>
  </si>
  <si>
    <t>Kady Mills</t>
  </si>
  <si>
    <t>https://internationalprocessplants.com/process-equipment/mill/kady/</t>
  </si>
  <si>
    <t>https://ims.internationalprocessplants.com/inventory/search/equipment/mill/kady</t>
  </si>
  <si>
    <t>kady mill</t>
  </si>
  <si>
    <t>https://international-process-plants-update-one.vercel.app/equipment/mill/kady/</t>
  </si>
  <si>
    <t>equipment/mill/kady/INTERNAL-REVIEW-kady.html</t>
  </si>
  <si>
    <t>IMS's Kady category holds no Kady dispersion mill: its listing is a Powtec RTS 350 x 300 rotor sieving mill, so the page is built as 'Kady &amp; Rotor Sieve Mills', names the Powtec for what it is and offers Kady mills through sourcing to specification. 'kady mill' (50) is the only measurable machine term ('kady' alone is people's names). The listing's ATEX/Ex wording, motor marking and throughput figure stay off the page.</t>
  </si>
  <si>
    <t>32</t>
  </si>
  <si>
    <t>Pebble</t>
  </si>
  <si>
    <t>Pebble Mills</t>
  </si>
  <si>
    <t>https://internationalprocessplants.com/process-equipment/mill/pebble/</t>
  </si>
  <si>
    <t>https://ims.internationalprocessplants.com/inventory/search/equipment/mill/pebble</t>
  </si>
  <si>
    <t>pebble mills</t>
  </si>
  <si>
    <t>https://international-process-plants-update-one.vercel.app/equipment/mill/pebble/</t>
  </si>
  <si>
    <t>equipment/mill/pebble/INTERNAL-REVIEW-pebble.html</t>
  </si>
  <si>
    <t>IMS lists no pebble mills, so this is a sourcing page: a sourcing block replaces the IMS listing (new builder option), the hero and closing search point at IMS's full mill category, and business copy that assumes stock is rewritten. It links IPP's new ball mill page by relative path (resolves once P29 is published) and names the TEMA vibratory mill whose listing accepts pebble media. Rebuild the page if IMS lists a pebble mill.</t>
  </si>
  <si>
    <t>33</t>
  </si>
  <si>
    <t>Pellet</t>
  </si>
  <si>
    <t>Pellet Mills</t>
  </si>
  <si>
    <t>https://internationalprocessplants.com/process-equipment/mill/pellet/</t>
  </si>
  <si>
    <t>https://ims.internationalprocessplants.com/inventory/search/equipment/mill/pellet</t>
  </si>
  <si>
    <t>pelletizer</t>
  </si>
  <si>
    <t>https://international-process-plants-update-one.vercel.app/equipment/mill/pellet/</t>
  </si>
  <si>
    <t>equipment/mill/pellet/INTERNAL-REVIEW-pellet.html</t>
  </si>
  <si>
    <t>IMS's pellet mill category holds a Black Clawson underwater pelletizing system (Gala spin dryer, MAAG gear pump, Kenics exchanger) and a Baker Perkins centrifugal pelletizer, not ring-die or flat-die pellet mills, so the page is built as 'Pelletizers'. Feed, wood and biomass pellet mill demand gets one FAQ (sourcing) and is otherwise excluded. A hero card opens IMS's site-wide pelletizer search (waterslide and Rieter (Maag) strand units in the plastics categories).</t>
  </si>
  <si>
    <t>34</t>
  </si>
  <si>
    <t>Roll</t>
  </si>
  <si>
    <t>Roll Mills</t>
  </si>
  <si>
    <t>https://internationalprocessplants.com/process-equipment/mill/roll/</t>
  </si>
  <si>
    <t>https://ims.internationalprocessplants.com/inventory/search/equipment/mill/roll</t>
  </si>
  <si>
    <t>roll mill</t>
  </si>
  <si>
    <t>https://international-process-plants-update-one.vercel.app/equipment/mill/roll/</t>
  </si>
  <si>
    <t>equipment/mill/roll/INTERNAL-REVIEW-roll.html</t>
  </si>
  <si>
    <t>Two-roll mills (lab, Farrel, chrome, unused and carbon steel) and a Gundlach 4080S two-roll crusher, with good used and unused condition tabs. Grain roller mills, three-roll mills and metal rolling mills are excluded. IMS spells the maker 'Farrell'; the copy uses Farrel. The crusher's previous use stays off the page.</t>
  </si>
  <si>
    <t>35</t>
  </si>
  <si>
    <t>Shot And Sand</t>
  </si>
  <si>
    <t>Shot and Sand Mills</t>
  </si>
  <si>
    <t>https://internationalprocessplants.com/process-equipment/mill/shot-and-sand/</t>
  </si>
  <si>
    <t>https://ims.internationalprocessplants.com/inventory/search/equipment/mill/shot-and-sand</t>
  </si>
  <si>
    <t>bead mill</t>
  </si>
  <si>
    <t>https://international-process-plants-update-one.vercel.app/equipment/mill/shot-and-sand/</t>
  </si>
  <si>
    <t>equipment/mill/shot-and-sand/INTERNAL-REVIEW-shot-and-sand.html</t>
  </si>
  <si>
    <t>Built as 'Bead &amp; Sand Mills' from IMS's shot and sand category: Netzsch LMC, LME and LMJ, WAB Dyno-Mill, Asada, FrymaKoruma and Drais bead mills, Moorhouse and Premier-type sandmill systems and Union Process Szegvari attritors, plus rebuilt Netzsch seals and an unused drive part. Type tabs and Netzsch, WAB and Asada manufacturer tabs; no condition tabs, since the refurbished and unused items are parts. Bead mill homogenizers and basket mills are excluded; media-volume fields, hazardous-area wording and throughput figures stay off the page.</t>
  </si>
  <si>
    <t>36</t>
  </si>
  <si>
    <t>Mixer-Banbury</t>
  </si>
  <si>
    <t>Banbury Mixers</t>
  </si>
  <si>
    <t>https://internationalprocessplants.com/process-equipment/mixer/banbury-mixer/</t>
  </si>
  <si>
    <t>https://ims.internationalprocessplants.com/inventory/search/equipment/banbury-mixer</t>
  </si>
  <si>
    <t>Not started</t>
  </si>
  <si>
    <t>equipment/mixer/banbury-mixer/INTERNAL-REVIEW-banbury-mixer.html</t>
  </si>
  <si>
    <t>37</t>
  </si>
  <si>
    <t>Mixer-Charge Can and Pony</t>
  </si>
  <si>
    <t>Charge Can and Pony Mixers</t>
  </si>
  <si>
    <t>https://internationalprocessplants.com/process-equipment/mixer/charge-can-and-pony-mixer/</t>
  </si>
  <si>
    <t>https://ims.internationalprocessplants.com/inventory/search/equipment/charge-can-and-pony-mixer</t>
  </si>
  <si>
    <t>equipment/mixer/charge-can-and-pony-mixer/INTERNAL-REVIEW-charge-can-and-pony-mixer.html</t>
  </si>
  <si>
    <t>Thin inventory: 4 units.</t>
  </si>
  <si>
    <t>38</t>
  </si>
  <si>
    <t>Mixer-Disperser</t>
  </si>
  <si>
    <t>Disperser Mixers</t>
  </si>
  <si>
    <t>https://internationalprocessplants.com/process-equipment/mixer/disperser-mixer/</t>
  </si>
  <si>
    <t>https://ims.internationalprocessplants.com/inventory/search/equipment/disperser-mixer</t>
  </si>
  <si>
    <t>equipment/mixer/disperser-mixer/INTERNAL-REVIEW-disperser-mixer.html</t>
  </si>
  <si>
    <t>The IMS disperser search also returns a batch-type agitated reactor; it is excluded from the page.</t>
  </si>
  <si>
    <t>39</t>
  </si>
  <si>
    <t>Mixer-Munson and Rotating</t>
  </si>
  <si>
    <t>Munson and Rotary Mixers</t>
  </si>
  <si>
    <t>https://internationalprocessplants.com/process-equipment/mixer/munson-rotary-mixer/</t>
  </si>
  <si>
    <t>https://ims.internationalprocessplants.com/inventory/search/equipment/munson-rotary-mixer</t>
  </si>
  <si>
    <t>equipment/mixer/munson-rotary-mixer/INTERNAL-REVIEW-munson-rotary-mixer.html</t>
  </si>
  <si>
    <t>Thin inventory: 2 units.</t>
  </si>
  <si>
    <t>Summary</t>
  </si>
  <si>
    <t>Every figure on this sheet is a formula over the Pages sheet.</t>
  </si>
  <si>
    <t>Measure</t>
  </si>
  <si>
    <t>Value</t>
  </si>
  <si>
    <t>Pages in scope</t>
  </si>
  <si>
    <t>Ready for client review</t>
  </si>
  <si>
    <t>In progress</t>
  </si>
  <si>
    <t>Blocked</t>
  </si>
  <si>
    <t>Approved by client</t>
  </si>
  <si>
    <t>Changes requested by client</t>
  </si>
  <si>
    <t>IMS units captured so far</t>
  </si>
  <si>
    <t>Progress by stage</t>
  </si>
  <si>
    <t>Stage</t>
  </si>
  <si>
    <t>Share of pages</t>
  </si>
  <si>
    <t>Progress by batch (5 pages per batch; batch 0 = pilot)</t>
  </si>
  <si>
    <t>Pages</t>
  </si>
  <si>
    <t>Approved</t>
  </si>
  <si>
    <t>Batch status</t>
  </si>
  <si>
    <t>How to read and edit this tracker</t>
  </si>
  <si>
    <t>Stage values</t>
  </si>
  <si>
    <t>Not started / In progress / Done / Blocked / N/A (drop-down). Overall Status is computed: all seven stages Done (or N/A) = Ready for client review.</t>
  </si>
  <si>
    <t>Every unit IMS lists for the category, in IMS's own Featured order, with all detail-page attributes and the IMS photo. Stored in the repo under data/&lt;group&gt;/&lt;page&gt;/.</t>
  </si>
  <si>
    <t>Direct and authority query networks with US volumes, plus the excluded queries and why. Shipped in each page's brief workbook.</t>
  </si>
  <si>
    <t>Sections written with the anup-commercial-content pipeline in the approved pilot style (rev 1 copy, live reactor layout).</t>
  </si>
  <si>
    <t>section_check.py per section and whole page with no blocking findings, plus the IPP page checker (no em dashes, no 'Unknown', dual units, absolute contact links, no exact stock counts).</t>
  </si>
  <si>
    <t>HTML page in the live reactor-hub layout: logo strip, IMS-style listing with filters, browse cards, tabs, FAQ, brand JSON-LD.</t>
  </si>
  <si>
    <t>Word document of the page copy for the client, in docs/new-pages-for-review/ in the repo.</t>
  </si>
  <si>
    <t>Pushed to access-op-digital/international-process-plants-updated main; Vercel deploys automatically. The review URL is noindex.</t>
  </si>
  <si>
    <t>What IMS's category search reports on the capture date. Units on Page can be lower when IMS's search also returns a neighbouring type (for example shelf-dryer search returns oven dryers, pusher-centrifuge returns its parts-only subtype).</t>
  </si>
  <si>
    <t>Yellow columns</t>
  </si>
  <si>
    <t>Client Review and Notes / Risks are for the IPP team. Everything else is overwritten when the tracker is regenerated after each batch.</t>
  </si>
  <si>
    <t>Example row</t>
  </si>
  <si>
    <t>Priority 22, Plate and Frame Heat Exchangers (the pilot): all seven stages Done, so Overall Status reads Ready for client review and the Vercel review page is linked.</t>
  </si>
  <si>
    <t>Generated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</si>
</sst>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8333E"/>
      <name val="Arial"/>
    </font>
    <font>
      <i/>
      <sz val="9"/>
      <color rgb="FF555555"/>
      <name val="Arial"/>
    </font>
    <font>
      <b/>
      <sz val="10"/>
      <color rgb="FFFFFFFF"/>
      <name val="Arial"/>
    </font>
    <font>
      <sz val="10"/>
      <name val="Arial"/>
    </font>
    <font>
      <u/>
      <sz val="10"/>
      <color rgb="FF1A8FC4"/>
      <name val="Arial"/>
    </font>
    <font>
      <b/>
      <sz val="10"/>
      <name val="Arial"/>
    </font>
  </fonts>
  <fills count="4">
    <fill>
      <patternFill patternType="none"/>
    </fill>
    <fill>
      <patternFill patternType="gray125"/>
    </fill>
    <fill>
      <patternFill patternType="solid">
        <fgColor rgb="FF18333E"/>
      </patternFill>
    </fill>
    <fill>
      <patternFill patternType="solid">
        <fgColor rgb="FFFFF8DC"/>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18">
    <xf numFmtId="0" fontId="0" fillId="0" borderId="0" xfId="0"/>
    <xf numFmtId="0" fontId="1" fillId="0" borderId="0" xfId="0" applyFont="1"/>
    <xf numFmtId="0" fontId="3" fillId="2" borderId="1" xfId="0" applyFont="1" applyFill="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xf numFmtId="0" fontId="4" fillId="3" borderId="1" xfId="0" applyFont="1" applyFill="1" applyBorder="1" applyAlignment="1">
      <alignment vertical="top" wrapText="1"/>
    </xf>
    <xf numFmtId="0" fontId="2" fillId="0" borderId="0" xfId="0" applyFont="1"/>
    <xf numFmtId="0" fontId="3" fillId="2" borderId="1" xfId="0" applyFont="1" applyFill="1" applyBorder="1"/>
    <xf numFmtId="0" fontId="4" fillId="0" borderId="1" xfId="0" applyFont="1" applyBorder="1"/>
    <xf numFmtId="0" fontId="6" fillId="0" borderId="0" xfId="0" applyFont="1"/>
    <xf numFmtId="9" fontId="4" fillId="0" borderId="1" xfId="0" applyNumberFormat="1" applyFont="1" applyBorder="1"/>
    <xf numFmtId="0" fontId="6" fillId="0" borderId="0" xfId="0" applyFont="1" applyAlignment="1">
      <alignment vertical="top" wrapText="1"/>
    </xf>
    <xf numFmtId="0" fontId="4" fillId="0" borderId="0" xfId="0" applyFont="1" applyAlignment="1">
      <alignment vertical="top" wrapText="1"/>
    </xf>
    <xf numFmtId="0" fontId="4" fillId="0" borderId="0" xfId="0" applyFont="1"/>
    <xf numFmtId="0" fontId="2" fillId="0" borderId="0" xfId="0" applyFont="1" applyAlignment="1">
      <alignment vertical="top" wrapText="1"/>
    </xf>
    <xf numFmtId="0" fontId="0" fillId="0" borderId="0" xfId="0"/>
  </cellXfs>
  <cellStyles count="1">
    <cellStyle name="Normal" xfId="0" builtinId="0"/>
  </cellStyles>
  <dxfs count="9">
    <dxf>
      <fill>
        <patternFill patternType="solid">
          <fgColor rgb="FFFFF3CD"/>
        </patternFill>
      </fill>
    </dxf>
    <dxf>
      <fill>
        <patternFill patternType="solid">
          <fgColor rgb="FFF8D7DA"/>
        </patternFill>
      </fill>
    </dxf>
    <dxf>
      <fill>
        <patternFill patternType="solid">
          <fgColor rgb="FFC3E6CB"/>
        </patternFill>
      </fill>
    </dxf>
    <dxf>
      <fill>
        <patternFill patternType="solid">
          <fgColor rgb="FFE2E3E5"/>
        </patternFill>
      </fill>
    </dxf>
    <dxf>
      <fill>
        <patternFill patternType="solid">
          <fgColor rgb="FFEEF1F4"/>
        </patternFill>
      </fill>
    </dxf>
    <dxf>
      <fill>
        <patternFill patternType="solid">
          <fgColor rgb="FFF8D7DA"/>
        </patternFill>
      </fill>
    </dxf>
    <dxf>
      <fill>
        <patternFill patternType="solid">
          <fgColor rgb="FFFFF3CD"/>
        </patternFill>
      </fill>
    </dxf>
    <dxf>
      <fill>
        <patternFill patternType="solid">
          <fgColor rgb="FFC3E6CB"/>
        </patternFill>
      </fill>
    </dxf>
    <dxf>
      <fill>
        <patternFill patternType="solid">
          <fgColor rgb="FFD4ED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ims.internationalprocessplants.com/inventory/search/equipment/flash-dryer" TargetMode="External"/><Relationship Id="rId21" Type="http://schemas.openxmlformats.org/officeDocument/2006/relationships/hyperlink" Target="https://international-process-plants-update-one.vercel.app/equipment/dryer/nauta-dryer/" TargetMode="External"/><Relationship Id="rId42" Type="http://schemas.openxmlformats.org/officeDocument/2006/relationships/hyperlink" Target="https://international-process-plants-update-one.vercel.app/equipment/dryer/thermal-disc-dryer/" TargetMode="External"/><Relationship Id="rId47" Type="http://schemas.openxmlformats.org/officeDocument/2006/relationships/hyperlink" Target="https://ims.internationalprocessplants.com/inventory/search/equipment/pan-dryer" TargetMode="External"/><Relationship Id="rId63" Type="http://schemas.openxmlformats.org/officeDocument/2006/relationships/hyperlink" Target="https://international-process-plants-update-one.vercel.app/equipment/heat-exchanger/air-fin/" TargetMode="External"/><Relationship Id="rId68" Type="http://schemas.openxmlformats.org/officeDocument/2006/relationships/hyperlink" Target="https://ims.internationalprocessplants.com/inventory/search/equipment/heat-exchanger/plate-and-frame" TargetMode="External"/><Relationship Id="rId84" Type="http://schemas.openxmlformats.org/officeDocument/2006/relationships/hyperlink" Target="https://international-process-plants-update-one.vercel.app/equipment/kettle/" TargetMode="External"/><Relationship Id="rId89" Type="http://schemas.openxmlformats.org/officeDocument/2006/relationships/hyperlink" Target="https://ims.internationalprocessplants.com/inventory/search/equipment/mill/ball" TargetMode="External"/><Relationship Id="rId112" Type="http://schemas.openxmlformats.org/officeDocument/2006/relationships/hyperlink" Target="https://ims.internationalprocessplants.com/inventory/search/equipment/charge-can-and-pony-mixer" TargetMode="External"/><Relationship Id="rId16" Type="http://schemas.openxmlformats.org/officeDocument/2006/relationships/hyperlink" Target="https://internationalprocessplants.com/process-equipment/centrifuge/solid-bowl-decanter-centrifuge-parts/" TargetMode="External"/><Relationship Id="rId107" Type="http://schemas.openxmlformats.org/officeDocument/2006/relationships/hyperlink" Target="https://ims.internationalprocessplants.com/inventory/search/equipment/mill/shot-and-sand" TargetMode="External"/><Relationship Id="rId11" Type="http://schemas.openxmlformats.org/officeDocument/2006/relationships/hyperlink" Target="https://ims.internationalprocessplants.com/inventory/search/equipment/pusher-centrifuge/parts-only" TargetMode="External"/><Relationship Id="rId32" Type="http://schemas.openxmlformats.org/officeDocument/2006/relationships/hyperlink" Target="https://ims.internationalprocessplants.com/inventory/search/equipment/rotary-hot-air-dryer" TargetMode="External"/><Relationship Id="rId37" Type="http://schemas.openxmlformats.org/officeDocument/2006/relationships/hyperlink" Target="https://internationalprocessplants.com/process-equipment/dryer/thin-film-dryer/" TargetMode="External"/><Relationship Id="rId53" Type="http://schemas.openxmlformats.org/officeDocument/2006/relationships/hyperlink" Target="https://ims.internationalprocessplants.com/inventory/search/equipment/flaker-drum-and-belt-dryer" TargetMode="External"/><Relationship Id="rId58" Type="http://schemas.openxmlformats.org/officeDocument/2006/relationships/hyperlink" Target="https://internationalprocessplants.com/process-equipment/dryer/refrigerant-heat/" TargetMode="External"/><Relationship Id="rId74" Type="http://schemas.openxmlformats.org/officeDocument/2006/relationships/hyperlink" Target="https://ims.internationalprocessplants.com/inventory/search/equipment/heat-exchanger/welded-plate" TargetMode="External"/><Relationship Id="rId79" Type="http://schemas.openxmlformats.org/officeDocument/2006/relationships/hyperlink" Target="https://internationalprocessplants.com/process-equipment/incinerator/" TargetMode="External"/><Relationship Id="rId102" Type="http://schemas.openxmlformats.org/officeDocument/2006/relationships/hyperlink" Target="https://international-process-plants-update-one.vercel.app/equipment/mill/pellet/" TargetMode="External"/><Relationship Id="rId5" Type="http://schemas.openxmlformats.org/officeDocument/2006/relationships/hyperlink" Target="https://ims.internationalprocessplants.com/inventory/search/equipment/misc-and-hydraulic-centrifuge" TargetMode="External"/><Relationship Id="rId90" Type="http://schemas.openxmlformats.org/officeDocument/2006/relationships/hyperlink" Target="https://international-process-plants-update-one.vercel.app/equipment/mill/ball/" TargetMode="External"/><Relationship Id="rId95" Type="http://schemas.openxmlformats.org/officeDocument/2006/relationships/hyperlink" Target="https://ims.internationalprocessplants.com/inventory/search/equipment/mill/kady" TargetMode="External"/><Relationship Id="rId22" Type="http://schemas.openxmlformats.org/officeDocument/2006/relationships/hyperlink" Target="https://internationalprocessplants.com/process-equipment/dryer/drum-dryer/" TargetMode="External"/><Relationship Id="rId27" Type="http://schemas.openxmlformats.org/officeDocument/2006/relationships/hyperlink" Target="https://international-process-plants-update-one.vercel.app/equipment/dryer/flash-dryer/" TargetMode="External"/><Relationship Id="rId43" Type="http://schemas.openxmlformats.org/officeDocument/2006/relationships/hyperlink" Target="https://internationalprocessplants.com/process-equipment/dryer/spherical-dryer/" TargetMode="External"/><Relationship Id="rId48" Type="http://schemas.openxmlformats.org/officeDocument/2006/relationships/hyperlink" Target="https://international-process-plants-update-one.vercel.app/equipment/dryer/pan-dryer/" TargetMode="External"/><Relationship Id="rId64" Type="http://schemas.openxmlformats.org/officeDocument/2006/relationships/hyperlink" Target="https://internationalprocessplants.com/process-equipment/heat-exchanger/block/" TargetMode="External"/><Relationship Id="rId69" Type="http://schemas.openxmlformats.org/officeDocument/2006/relationships/hyperlink" Target="https://international-process-plants-update-one.vercel.app/equipment/heat-exchanger/plate-and-frame/" TargetMode="External"/><Relationship Id="rId113" Type="http://schemas.openxmlformats.org/officeDocument/2006/relationships/hyperlink" Target="https://internationalprocessplants.com/process-equipment/mixer/disperser-mixer/" TargetMode="External"/><Relationship Id="rId80" Type="http://schemas.openxmlformats.org/officeDocument/2006/relationships/hyperlink" Target="https://ims.internationalprocessplants.com/inventory/search/equipment/incinerator" TargetMode="External"/><Relationship Id="rId85" Type="http://schemas.openxmlformats.org/officeDocument/2006/relationships/hyperlink" Target="https://internationalprocessplants.com/process-equipment/kiln/" TargetMode="External"/><Relationship Id="rId12" Type="http://schemas.openxmlformats.org/officeDocument/2006/relationships/hyperlink" Target="https://international-process-plants-update-one.vercel.app/equipment/centrifuge/pusher-centrifuge-parts/" TargetMode="External"/><Relationship Id="rId17" Type="http://schemas.openxmlformats.org/officeDocument/2006/relationships/hyperlink" Target="https://ims.internationalprocessplants.com/inventory/search/equipment/solid-bowl-decanter-centrifuge/parts-only" TargetMode="External"/><Relationship Id="rId33" Type="http://schemas.openxmlformats.org/officeDocument/2006/relationships/hyperlink" Target="https://international-process-plants-update-one.vercel.app/equipment/dryer/rotary-hot-air-dryer/" TargetMode="External"/><Relationship Id="rId38" Type="http://schemas.openxmlformats.org/officeDocument/2006/relationships/hyperlink" Target="https://ims.internationalprocessplants.com/inventory/search/equipment/thin-film-dryer" TargetMode="External"/><Relationship Id="rId59" Type="http://schemas.openxmlformats.org/officeDocument/2006/relationships/hyperlink" Target="https://ims.internationalprocessplants.com/inventory/search/equipment/air-dryer/refrigerant-heat" TargetMode="External"/><Relationship Id="rId103" Type="http://schemas.openxmlformats.org/officeDocument/2006/relationships/hyperlink" Target="https://internationalprocessplants.com/process-equipment/mill/roll/" TargetMode="External"/><Relationship Id="rId108" Type="http://schemas.openxmlformats.org/officeDocument/2006/relationships/hyperlink" Target="https://international-process-plants-update-one.vercel.app/equipment/mill/shot-and-sand/" TargetMode="External"/><Relationship Id="rId54" Type="http://schemas.openxmlformats.org/officeDocument/2006/relationships/hyperlink" Target="https://international-process-plants-update-one.vercel.app/equipment/dryer/flaker-drum-and-belt-dryer/" TargetMode="External"/><Relationship Id="rId70" Type="http://schemas.openxmlformats.org/officeDocument/2006/relationships/hyperlink" Target="https://internationalprocessplants.com/process-equipment/heat-exchanger/spiral/" TargetMode="External"/><Relationship Id="rId75" Type="http://schemas.openxmlformats.org/officeDocument/2006/relationships/hyperlink" Target="https://international-process-plants-update-one.vercel.app/equipment/heat-exchanger/welded-plate/" TargetMode="External"/><Relationship Id="rId91" Type="http://schemas.openxmlformats.org/officeDocument/2006/relationships/hyperlink" Target="https://internationalprocessplants.com/process-equipment/mill/colloid/" TargetMode="External"/><Relationship Id="rId96" Type="http://schemas.openxmlformats.org/officeDocument/2006/relationships/hyperlink" Target="https://international-process-plants-update-one.vercel.app/equipment/mill/kady/" TargetMode="External"/><Relationship Id="rId1" Type="http://schemas.openxmlformats.org/officeDocument/2006/relationships/hyperlink" Target="https://internationalprocessplants.com/process-equipment/centrifuge/lab-centrifuge/" TargetMode="External"/><Relationship Id="rId6" Type="http://schemas.openxmlformats.org/officeDocument/2006/relationships/hyperlink" Target="https://international-process-plants-update-one.vercel.app/equipment/centrifuge/misc-and-hydraulic-centrifuge/" TargetMode="External"/><Relationship Id="rId15" Type="http://schemas.openxmlformats.org/officeDocument/2006/relationships/hyperlink" Target="https://international-process-plants-update-one.vercel.app/equipment/centrifuge/pusher-centrifuge/" TargetMode="External"/><Relationship Id="rId23" Type="http://schemas.openxmlformats.org/officeDocument/2006/relationships/hyperlink" Target="https://ims.internationalprocessplants.com/inventory/search/equipment/drum-dryer" TargetMode="External"/><Relationship Id="rId28" Type="http://schemas.openxmlformats.org/officeDocument/2006/relationships/hyperlink" Target="https://internationalprocessplants.com/process-equipment/dryer/porcupine-dryer-parts/" TargetMode="External"/><Relationship Id="rId36" Type="http://schemas.openxmlformats.org/officeDocument/2006/relationships/hyperlink" Target="https://international-process-plants-update-one.vercel.app/equipment/dryer/shelf-dryer/" TargetMode="External"/><Relationship Id="rId49" Type="http://schemas.openxmlformats.org/officeDocument/2006/relationships/hyperlink" Target="https://internationalprocessplants.com/process-equipment/dryer/oven-dryer/" TargetMode="External"/><Relationship Id="rId57" Type="http://schemas.openxmlformats.org/officeDocument/2006/relationships/hyperlink" Target="https://international-process-plants-update-one.vercel.app/equipment/dryer/desiccant/" TargetMode="External"/><Relationship Id="rId106" Type="http://schemas.openxmlformats.org/officeDocument/2006/relationships/hyperlink" Target="https://internationalprocessplants.com/process-equipment/mill/shot-and-sand/" TargetMode="External"/><Relationship Id="rId114" Type="http://schemas.openxmlformats.org/officeDocument/2006/relationships/hyperlink" Target="https://ims.internationalprocessplants.com/inventory/search/equipment/disperser-mixer" TargetMode="External"/><Relationship Id="rId10" Type="http://schemas.openxmlformats.org/officeDocument/2006/relationships/hyperlink" Target="https://internationalprocessplants.com/process-equipment/centrifuge/pusher-centrifuge-parts/" TargetMode="External"/><Relationship Id="rId31" Type="http://schemas.openxmlformats.org/officeDocument/2006/relationships/hyperlink" Target="https://internationalprocessplants.com/process-equipment/dryer/rotary-hot-air-dryer/" TargetMode="External"/><Relationship Id="rId44" Type="http://schemas.openxmlformats.org/officeDocument/2006/relationships/hyperlink" Target="https://ims.internationalprocessplants.com/inventory/search/equipment/spherical-dryer" TargetMode="External"/><Relationship Id="rId52" Type="http://schemas.openxmlformats.org/officeDocument/2006/relationships/hyperlink" Target="https://internationalprocessplants.com/process-equipment/dryer/flaker-drum-and-belt-dryer/" TargetMode="External"/><Relationship Id="rId60" Type="http://schemas.openxmlformats.org/officeDocument/2006/relationships/hyperlink" Target="https://international-process-plants-update-one.vercel.app/equipment/dryer/refrigerant-heat/" TargetMode="External"/><Relationship Id="rId65" Type="http://schemas.openxmlformats.org/officeDocument/2006/relationships/hyperlink" Target="https://ims.internationalprocessplants.com/inventory/search/equipment/heat-exchanger/block" TargetMode="External"/><Relationship Id="rId73" Type="http://schemas.openxmlformats.org/officeDocument/2006/relationships/hyperlink" Target="https://internationalprocessplants.com/process-equipment/heat-exchanger/welded-plate/" TargetMode="External"/><Relationship Id="rId78" Type="http://schemas.openxmlformats.org/officeDocument/2006/relationships/hyperlink" Target="https://international-process-plants-update-one.vercel.app/equipment/homogenizer/" TargetMode="External"/><Relationship Id="rId81" Type="http://schemas.openxmlformats.org/officeDocument/2006/relationships/hyperlink" Target="https://international-process-plants-update-one.vercel.app/equipment/incinerator/" TargetMode="External"/><Relationship Id="rId86" Type="http://schemas.openxmlformats.org/officeDocument/2006/relationships/hyperlink" Target="https://ims.internationalprocessplants.com/inventory/search/equipment/kiln" TargetMode="External"/><Relationship Id="rId94" Type="http://schemas.openxmlformats.org/officeDocument/2006/relationships/hyperlink" Target="https://internationalprocessplants.com/process-equipment/mill/kady/" TargetMode="External"/><Relationship Id="rId99" Type="http://schemas.openxmlformats.org/officeDocument/2006/relationships/hyperlink" Target="https://international-process-plants-update-one.vercel.app/equipment/mill/pebble/" TargetMode="External"/><Relationship Id="rId101" Type="http://schemas.openxmlformats.org/officeDocument/2006/relationships/hyperlink" Target="https://ims.internationalprocessplants.com/inventory/search/equipment/mill/pellet" TargetMode="External"/><Relationship Id="rId4" Type="http://schemas.openxmlformats.org/officeDocument/2006/relationships/hyperlink" Target="https://internationalprocessplants.com/process-equipment/centrifuge/misc-and-hydraulic-centrifuge/" TargetMode="External"/><Relationship Id="rId9" Type="http://schemas.openxmlformats.org/officeDocument/2006/relationships/hyperlink" Target="https://international-process-plants-update-one.vercel.app/equipment/centrifuge/peeler-centrifuge/" TargetMode="External"/><Relationship Id="rId13" Type="http://schemas.openxmlformats.org/officeDocument/2006/relationships/hyperlink" Target="https://internationalprocessplants.com/process-equipment/centrifuge/pusher-centrifuge/" TargetMode="External"/><Relationship Id="rId18" Type="http://schemas.openxmlformats.org/officeDocument/2006/relationships/hyperlink" Target="https://international-process-plants-update-one.vercel.app/equipment/centrifuge/solid-bowl-decanter-centrifuge-parts/" TargetMode="External"/><Relationship Id="rId39" Type="http://schemas.openxmlformats.org/officeDocument/2006/relationships/hyperlink" Target="https://international-process-plants-update-one.vercel.app/equipment/dryer/thin-film-dryer/" TargetMode="External"/><Relationship Id="rId109" Type="http://schemas.openxmlformats.org/officeDocument/2006/relationships/hyperlink" Target="https://internationalprocessplants.com/process-equipment/mixer/banbury-mixer/" TargetMode="External"/><Relationship Id="rId34" Type="http://schemas.openxmlformats.org/officeDocument/2006/relationships/hyperlink" Target="https://internationalprocessplants.com/process-equipment/dryer/shelf-dryer/" TargetMode="External"/><Relationship Id="rId50" Type="http://schemas.openxmlformats.org/officeDocument/2006/relationships/hyperlink" Target="https://ims.internationalprocessplants.com/inventory/search/equipment/oven-dryer" TargetMode="External"/><Relationship Id="rId55" Type="http://schemas.openxmlformats.org/officeDocument/2006/relationships/hyperlink" Target="https://internationalprocessplants.com/process-equipment/dryer/desiccant/" TargetMode="External"/><Relationship Id="rId76" Type="http://schemas.openxmlformats.org/officeDocument/2006/relationships/hyperlink" Target="https://internationalprocessplants.com/process-equipment/homogenizer/" TargetMode="External"/><Relationship Id="rId97" Type="http://schemas.openxmlformats.org/officeDocument/2006/relationships/hyperlink" Target="https://internationalprocessplants.com/process-equipment/mill/pebble/" TargetMode="External"/><Relationship Id="rId104" Type="http://schemas.openxmlformats.org/officeDocument/2006/relationships/hyperlink" Target="https://ims.internationalprocessplants.com/inventory/search/equipment/mill/roll" TargetMode="External"/><Relationship Id="rId7" Type="http://schemas.openxmlformats.org/officeDocument/2006/relationships/hyperlink" Target="https://internationalprocessplants.com/process-equipment/centrifuge/peeler-centrifuge/" TargetMode="External"/><Relationship Id="rId71" Type="http://schemas.openxmlformats.org/officeDocument/2006/relationships/hyperlink" Target="https://ims.internationalprocessplants.com/inventory/search/equipment/heat-exchanger/spiral" TargetMode="External"/><Relationship Id="rId92" Type="http://schemas.openxmlformats.org/officeDocument/2006/relationships/hyperlink" Target="https://ims.internationalprocessplants.com/inventory/search/equipment/mill/colloid" TargetMode="External"/><Relationship Id="rId2" Type="http://schemas.openxmlformats.org/officeDocument/2006/relationships/hyperlink" Target="https://ims.internationalprocessplants.com/inventory/search/equipment/lab-centrifuge" TargetMode="External"/><Relationship Id="rId29" Type="http://schemas.openxmlformats.org/officeDocument/2006/relationships/hyperlink" Target="https://ims.internationalprocessplants.com/inventory/search/equipment/porcupine-dryer/parts" TargetMode="External"/><Relationship Id="rId24" Type="http://schemas.openxmlformats.org/officeDocument/2006/relationships/hyperlink" Target="https://international-process-plants-update-one.vercel.app/equipment/dryer/drum-dryer/" TargetMode="External"/><Relationship Id="rId40" Type="http://schemas.openxmlformats.org/officeDocument/2006/relationships/hyperlink" Target="https://internationalprocessplants.com/process-equipment/dryer/thermal-disc-dryer/" TargetMode="External"/><Relationship Id="rId45" Type="http://schemas.openxmlformats.org/officeDocument/2006/relationships/hyperlink" Target="https://international-process-plants-update-one.vercel.app/equipment/dryer/spherical-dryer/" TargetMode="External"/><Relationship Id="rId66" Type="http://schemas.openxmlformats.org/officeDocument/2006/relationships/hyperlink" Target="https://international-process-plants-update-one.vercel.app/equipment/heat-exchanger/block/" TargetMode="External"/><Relationship Id="rId87" Type="http://schemas.openxmlformats.org/officeDocument/2006/relationships/hyperlink" Target="https://international-process-plants-update-one.vercel.app/equipment/kiln/" TargetMode="External"/><Relationship Id="rId110" Type="http://schemas.openxmlformats.org/officeDocument/2006/relationships/hyperlink" Target="https://ims.internationalprocessplants.com/inventory/search/equipment/banbury-mixer" TargetMode="External"/><Relationship Id="rId115" Type="http://schemas.openxmlformats.org/officeDocument/2006/relationships/hyperlink" Target="https://internationalprocessplants.com/process-equipment/mixer/munson-rotary-mixer/" TargetMode="External"/><Relationship Id="rId61" Type="http://schemas.openxmlformats.org/officeDocument/2006/relationships/hyperlink" Target="https://internationalprocessplants.com/process-equipment/heat-exchanger/air-fin/" TargetMode="External"/><Relationship Id="rId82" Type="http://schemas.openxmlformats.org/officeDocument/2006/relationships/hyperlink" Target="https://internationalprocessplants.com/process-equipment/kettle/" TargetMode="External"/><Relationship Id="rId19" Type="http://schemas.openxmlformats.org/officeDocument/2006/relationships/hyperlink" Target="https://internationalprocessplants.com/process-equipment/dryer/nauta-dryer/" TargetMode="External"/><Relationship Id="rId14" Type="http://schemas.openxmlformats.org/officeDocument/2006/relationships/hyperlink" Target="https://ims.internationalprocessplants.com/inventory/search/equipment/pusher-centrifuge" TargetMode="External"/><Relationship Id="rId30" Type="http://schemas.openxmlformats.org/officeDocument/2006/relationships/hyperlink" Target="https://international-process-plants-update-one.vercel.app/equipment/dryer/porcupine-dryer-parts/" TargetMode="External"/><Relationship Id="rId35" Type="http://schemas.openxmlformats.org/officeDocument/2006/relationships/hyperlink" Target="https://ims.internationalprocessplants.com/inventory/search/equipment/shelf-dryer" TargetMode="External"/><Relationship Id="rId56" Type="http://schemas.openxmlformats.org/officeDocument/2006/relationships/hyperlink" Target="https://ims.internationalprocessplants.com/inventory/search/equipment/air-dryer/desiccant" TargetMode="External"/><Relationship Id="rId77" Type="http://schemas.openxmlformats.org/officeDocument/2006/relationships/hyperlink" Target="https://ims.internationalprocessplants.com/inventory/search/equipment/homogenizer" TargetMode="External"/><Relationship Id="rId100" Type="http://schemas.openxmlformats.org/officeDocument/2006/relationships/hyperlink" Target="https://internationalprocessplants.com/process-equipment/mill/pellet/" TargetMode="External"/><Relationship Id="rId105" Type="http://schemas.openxmlformats.org/officeDocument/2006/relationships/hyperlink" Target="https://international-process-plants-update-one.vercel.app/equipment/mill/roll/" TargetMode="External"/><Relationship Id="rId8" Type="http://schemas.openxmlformats.org/officeDocument/2006/relationships/hyperlink" Target="https://ims.internationalprocessplants.com/inventory/search/equipment/peeler-centrifuge" TargetMode="External"/><Relationship Id="rId51" Type="http://schemas.openxmlformats.org/officeDocument/2006/relationships/hyperlink" Target="https://international-process-plants-update-one.vercel.app/equipment/dryer/oven-dryer/" TargetMode="External"/><Relationship Id="rId72" Type="http://schemas.openxmlformats.org/officeDocument/2006/relationships/hyperlink" Target="https://international-process-plants-update-one.vercel.app/equipment/heat-exchanger/spiral/" TargetMode="External"/><Relationship Id="rId93" Type="http://schemas.openxmlformats.org/officeDocument/2006/relationships/hyperlink" Target="https://international-process-plants-update-one.vercel.app/equipment/mill/colloid/" TargetMode="External"/><Relationship Id="rId98" Type="http://schemas.openxmlformats.org/officeDocument/2006/relationships/hyperlink" Target="https://ims.internationalprocessplants.com/inventory/search/equipment/mill/pebble" TargetMode="External"/><Relationship Id="rId3" Type="http://schemas.openxmlformats.org/officeDocument/2006/relationships/hyperlink" Target="https://international-process-plants-update-one.vercel.app/equipment/centrifuge/lab-centrifuge/" TargetMode="External"/><Relationship Id="rId25" Type="http://schemas.openxmlformats.org/officeDocument/2006/relationships/hyperlink" Target="https://internationalprocessplants.com/process-equipment/dryer/flash-dryer/" TargetMode="External"/><Relationship Id="rId46" Type="http://schemas.openxmlformats.org/officeDocument/2006/relationships/hyperlink" Target="https://internationalprocessplants.com/process-equipment/dryer/pan-dryer/" TargetMode="External"/><Relationship Id="rId67" Type="http://schemas.openxmlformats.org/officeDocument/2006/relationships/hyperlink" Target="https://internationalprocessplants.com/process-equipment/heat-exchanger/plate-and-frame/" TargetMode="External"/><Relationship Id="rId116" Type="http://schemas.openxmlformats.org/officeDocument/2006/relationships/hyperlink" Target="https://ims.internationalprocessplants.com/inventory/search/equipment/munson-rotary-mixer" TargetMode="External"/><Relationship Id="rId20" Type="http://schemas.openxmlformats.org/officeDocument/2006/relationships/hyperlink" Target="https://ims.internationalprocessplants.com/inventory/search/equipment/nauta-dryer" TargetMode="External"/><Relationship Id="rId41" Type="http://schemas.openxmlformats.org/officeDocument/2006/relationships/hyperlink" Target="https://ims.internationalprocessplants.com/inventory/search/equipment/thermal-disc-dryer" TargetMode="External"/><Relationship Id="rId62" Type="http://schemas.openxmlformats.org/officeDocument/2006/relationships/hyperlink" Target="https://ims.internationalprocessplants.com/inventory/search/equipment/heat-exchanger/air-fin" TargetMode="External"/><Relationship Id="rId83" Type="http://schemas.openxmlformats.org/officeDocument/2006/relationships/hyperlink" Target="https://ims.internationalprocessplants.com/inventory/search/equipment/kettle" TargetMode="External"/><Relationship Id="rId88" Type="http://schemas.openxmlformats.org/officeDocument/2006/relationships/hyperlink" Target="https://internationalprocessplants.com/process-equipment/mill/ball/" TargetMode="External"/><Relationship Id="rId111" Type="http://schemas.openxmlformats.org/officeDocument/2006/relationships/hyperlink" Target="https://internationalprocessplants.com/process-equipment/mixer/charge-can-and-pony-mix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4"/>
  <sheetViews>
    <sheetView tabSelected="1" workbookViewId="0">
      <pane xSplit="5" ySplit="4" topLeftCell="F5" activePane="bottomRight" state="frozen"/>
      <selection pane="topRight"/>
      <selection pane="bottomLeft"/>
      <selection pane="bottomRight"/>
    </sheetView>
  </sheetViews>
  <sheetFormatPr defaultRowHeight="15" x14ac:dyDescent="0.25"/>
  <cols>
    <col min="1" max="1" width="8" customWidth="1"/>
    <col min="2" max="2" width="7" customWidth="1"/>
    <col min="3" max="3" width="22" customWidth="1"/>
    <col min="4" max="4" width="13" customWidth="1"/>
    <col min="5" max="5" width="26" customWidth="1"/>
    <col min="6" max="7" width="44" customWidth="1"/>
    <col min="8" max="8" width="10" customWidth="1"/>
    <col min="9" max="10" width="9" customWidth="1"/>
    <col min="11" max="11" width="24" customWidth="1"/>
    <col min="12" max="12" width="10" customWidth="1"/>
    <col min="13" max="19" width="13" customWidth="1"/>
    <col min="20" max="20" width="18" customWidth="1"/>
    <col min="21" max="21" width="15" customWidth="1"/>
    <col min="22" max="23" width="44" customWidth="1"/>
    <col min="24" max="24" width="11" customWidth="1"/>
    <col min="25" max="25" width="60" customWidth="1"/>
  </cols>
  <sheetData>
    <row r="1" spans="1:25" ht="18" x14ac:dyDescent="0.25">
      <c r="A1" s="1" t="s">
        <v>0</v>
      </c>
    </row>
    <row r="2" spans="1:25" ht="27.95" customHeight="1" x14ac:dyDescent="0.25">
      <c r="A2" s="16" t="s">
        <v>1</v>
      </c>
      <c r="B2" s="17"/>
      <c r="C2" s="17"/>
      <c r="D2" s="17"/>
      <c r="E2" s="17"/>
      <c r="F2" s="17"/>
      <c r="G2" s="17"/>
      <c r="H2" s="17"/>
      <c r="I2" s="17"/>
      <c r="J2" s="17"/>
      <c r="K2" s="17"/>
      <c r="L2" s="17"/>
      <c r="M2" s="17"/>
      <c r="N2" s="17"/>
      <c r="O2" s="17"/>
      <c r="P2" s="17"/>
      <c r="Q2" s="17"/>
      <c r="R2" s="17"/>
      <c r="S2" s="17"/>
      <c r="T2" s="17"/>
      <c r="U2" s="17"/>
      <c r="V2" s="17"/>
      <c r="W2" s="17"/>
      <c r="X2" s="17"/>
      <c r="Y2" s="17"/>
    </row>
    <row r="4" spans="1:25" ht="42" customHeight="1" x14ac:dyDescent="0.25">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c r="R4" s="2" t="s">
        <v>19</v>
      </c>
      <c r="S4" s="2" t="s">
        <v>20</v>
      </c>
      <c r="T4" s="2" t="s">
        <v>21</v>
      </c>
      <c r="U4" s="2" t="s">
        <v>22</v>
      </c>
      <c r="V4" s="2" t="s">
        <v>23</v>
      </c>
      <c r="W4" s="2" t="s">
        <v>24</v>
      </c>
      <c r="X4" s="2" t="s">
        <v>25</v>
      </c>
      <c r="Y4" s="2" t="s">
        <v>26</v>
      </c>
    </row>
    <row r="5" spans="1:25" ht="127.5" x14ac:dyDescent="0.25">
      <c r="A5" s="3" t="s">
        <v>27</v>
      </c>
      <c r="B5" s="3">
        <v>1</v>
      </c>
      <c r="C5" s="4" t="s">
        <v>28</v>
      </c>
      <c r="D5" s="4"/>
      <c r="E5" s="4" t="s">
        <v>29</v>
      </c>
      <c r="F5" s="5" t="s">
        <v>30</v>
      </c>
      <c r="G5" s="5" t="s">
        <v>31</v>
      </c>
      <c r="H5" s="3">
        <v>5</v>
      </c>
      <c r="I5" s="3">
        <v>5</v>
      </c>
      <c r="J5" s="3">
        <v>5</v>
      </c>
      <c r="K5" s="4" t="s">
        <v>32</v>
      </c>
      <c r="L5" s="3">
        <v>800</v>
      </c>
      <c r="M5" s="3" t="s">
        <v>33</v>
      </c>
      <c r="N5" s="3" t="s">
        <v>33</v>
      </c>
      <c r="O5" s="3" t="s">
        <v>33</v>
      </c>
      <c r="P5" s="3" t="s">
        <v>33</v>
      </c>
      <c r="Q5" s="3" t="s">
        <v>33</v>
      </c>
      <c r="R5" s="3" t="s">
        <v>33</v>
      </c>
      <c r="S5" s="3" t="s">
        <v>33</v>
      </c>
      <c r="T5" s="6" t="str">
        <f t="shared" ref="T5:T44" si="0">IF(COUNTIF(M5:S5,"Done")+COUNTIF(M5:S5,"N/A")=7,"Ready for client review",IF(COUNTIF(M5:S5,"Blocked")&gt;0,"Blocked",IF(COUNTIF(M5:S5,"Not started")=7,"Not started","In progress")))</f>
        <v>Ready for client review</v>
      </c>
      <c r="U5" s="7" t="s">
        <v>34</v>
      </c>
      <c r="V5" s="5" t="s">
        <v>35</v>
      </c>
      <c r="W5" s="4" t="s">
        <v>36</v>
      </c>
      <c r="X5" s="4" t="s">
        <v>37</v>
      </c>
      <c r="Y5" s="7" t="s">
        <v>38</v>
      </c>
    </row>
    <row r="6" spans="1:25" ht="114.75" x14ac:dyDescent="0.25">
      <c r="A6" s="3" t="s">
        <v>39</v>
      </c>
      <c r="B6" s="3">
        <v>1</v>
      </c>
      <c r="C6" s="4" t="s">
        <v>40</v>
      </c>
      <c r="D6" s="4"/>
      <c r="E6" s="4" t="s">
        <v>41</v>
      </c>
      <c r="F6" s="5" t="s">
        <v>42</v>
      </c>
      <c r="G6" s="5" t="s">
        <v>43</v>
      </c>
      <c r="H6" s="3">
        <v>38</v>
      </c>
      <c r="I6" s="3">
        <v>38</v>
      </c>
      <c r="J6" s="3">
        <v>35</v>
      </c>
      <c r="K6" s="4" t="s">
        <v>44</v>
      </c>
      <c r="L6" s="3">
        <v>70</v>
      </c>
      <c r="M6" s="3" t="s">
        <v>33</v>
      </c>
      <c r="N6" s="3" t="s">
        <v>33</v>
      </c>
      <c r="O6" s="3" t="s">
        <v>33</v>
      </c>
      <c r="P6" s="3" t="s">
        <v>33</v>
      </c>
      <c r="Q6" s="3" t="s">
        <v>33</v>
      </c>
      <c r="R6" s="3" t="s">
        <v>33</v>
      </c>
      <c r="S6" s="3" t="s">
        <v>33</v>
      </c>
      <c r="T6" s="6" t="str">
        <f t="shared" si="0"/>
        <v>Ready for client review</v>
      </c>
      <c r="U6" s="7" t="s">
        <v>34</v>
      </c>
      <c r="V6" s="5" t="s">
        <v>45</v>
      </c>
      <c r="W6" s="4" t="s">
        <v>46</v>
      </c>
      <c r="X6" s="4" t="s">
        <v>37</v>
      </c>
      <c r="Y6" s="7" t="s">
        <v>47</v>
      </c>
    </row>
    <row r="7" spans="1:25" ht="89.25" x14ac:dyDescent="0.25">
      <c r="A7" s="3" t="s">
        <v>48</v>
      </c>
      <c r="B7" s="3">
        <v>1</v>
      </c>
      <c r="C7" s="4" t="s">
        <v>49</v>
      </c>
      <c r="D7" s="4"/>
      <c r="E7" s="4" t="s">
        <v>50</v>
      </c>
      <c r="F7" s="5" t="s">
        <v>51</v>
      </c>
      <c r="G7" s="5" t="s">
        <v>52</v>
      </c>
      <c r="H7" s="3">
        <v>49</v>
      </c>
      <c r="I7" s="3">
        <v>49</v>
      </c>
      <c r="J7" s="3">
        <v>49</v>
      </c>
      <c r="K7" s="4" t="s">
        <v>53</v>
      </c>
      <c r="L7" s="3">
        <v>150</v>
      </c>
      <c r="M7" s="3" t="s">
        <v>33</v>
      </c>
      <c r="N7" s="3" t="s">
        <v>33</v>
      </c>
      <c r="O7" s="3" t="s">
        <v>33</v>
      </c>
      <c r="P7" s="3" t="s">
        <v>33</v>
      </c>
      <c r="Q7" s="3" t="s">
        <v>33</v>
      </c>
      <c r="R7" s="3" t="s">
        <v>33</v>
      </c>
      <c r="S7" s="3" t="s">
        <v>33</v>
      </c>
      <c r="T7" s="6" t="str">
        <f t="shared" si="0"/>
        <v>Ready for client review</v>
      </c>
      <c r="U7" s="7" t="s">
        <v>34</v>
      </c>
      <c r="V7" s="5" t="s">
        <v>54</v>
      </c>
      <c r="W7" s="4" t="s">
        <v>55</v>
      </c>
      <c r="X7" s="4" t="s">
        <v>37</v>
      </c>
      <c r="Y7" s="7" t="s">
        <v>56</v>
      </c>
    </row>
    <row r="8" spans="1:25" ht="114.75" x14ac:dyDescent="0.25">
      <c r="A8" s="3" t="s">
        <v>57</v>
      </c>
      <c r="B8" s="3">
        <v>1</v>
      </c>
      <c r="C8" s="4" t="s">
        <v>58</v>
      </c>
      <c r="D8" s="4" t="s">
        <v>59</v>
      </c>
      <c r="E8" s="4" t="s">
        <v>60</v>
      </c>
      <c r="F8" s="5" t="s">
        <v>61</v>
      </c>
      <c r="G8" s="5" t="s">
        <v>62</v>
      </c>
      <c r="H8" s="3">
        <v>21</v>
      </c>
      <c r="I8" s="3">
        <v>21</v>
      </c>
      <c r="J8" s="3">
        <v>1</v>
      </c>
      <c r="K8" s="4" t="s">
        <v>63</v>
      </c>
      <c r="L8" s="3">
        <v>40</v>
      </c>
      <c r="M8" s="3" t="s">
        <v>33</v>
      </c>
      <c r="N8" s="3" t="s">
        <v>33</v>
      </c>
      <c r="O8" s="3" t="s">
        <v>33</v>
      </c>
      <c r="P8" s="3" t="s">
        <v>33</v>
      </c>
      <c r="Q8" s="3" t="s">
        <v>33</v>
      </c>
      <c r="R8" s="3" t="s">
        <v>33</v>
      </c>
      <c r="S8" s="3" t="s">
        <v>33</v>
      </c>
      <c r="T8" s="6" t="str">
        <f t="shared" si="0"/>
        <v>Ready for client review</v>
      </c>
      <c r="U8" s="7" t="s">
        <v>34</v>
      </c>
      <c r="V8" s="5" t="s">
        <v>64</v>
      </c>
      <c r="W8" s="4" t="s">
        <v>65</v>
      </c>
      <c r="X8" s="4" t="s">
        <v>37</v>
      </c>
      <c r="Y8" s="7" t="s">
        <v>66</v>
      </c>
    </row>
    <row r="9" spans="1:25" ht="89.25" x14ac:dyDescent="0.25">
      <c r="A9" s="3" t="s">
        <v>67</v>
      </c>
      <c r="B9" s="3">
        <v>1</v>
      </c>
      <c r="C9" s="4" t="s">
        <v>58</v>
      </c>
      <c r="D9" s="4"/>
      <c r="E9" s="4" t="s">
        <v>68</v>
      </c>
      <c r="F9" s="5" t="s">
        <v>69</v>
      </c>
      <c r="G9" s="5" t="s">
        <v>70</v>
      </c>
      <c r="H9" s="3">
        <v>47</v>
      </c>
      <c r="I9" s="3">
        <v>26</v>
      </c>
      <c r="J9" s="3">
        <v>26</v>
      </c>
      <c r="K9" s="4" t="s">
        <v>71</v>
      </c>
      <c r="L9" s="3">
        <v>150</v>
      </c>
      <c r="M9" s="3" t="s">
        <v>33</v>
      </c>
      <c r="N9" s="3" t="s">
        <v>33</v>
      </c>
      <c r="O9" s="3" t="s">
        <v>33</v>
      </c>
      <c r="P9" s="3" t="s">
        <v>33</v>
      </c>
      <c r="Q9" s="3" t="s">
        <v>33</v>
      </c>
      <c r="R9" s="3" t="s">
        <v>33</v>
      </c>
      <c r="S9" s="3" t="s">
        <v>33</v>
      </c>
      <c r="T9" s="6" t="str">
        <f t="shared" si="0"/>
        <v>Ready for client review</v>
      </c>
      <c r="U9" s="7" t="s">
        <v>34</v>
      </c>
      <c r="V9" s="5" t="s">
        <v>72</v>
      </c>
      <c r="W9" s="4" t="s">
        <v>73</v>
      </c>
      <c r="X9" s="4" t="s">
        <v>37</v>
      </c>
      <c r="Y9" s="7" t="s">
        <v>74</v>
      </c>
    </row>
    <row r="10" spans="1:25" ht="114.75" x14ac:dyDescent="0.25">
      <c r="A10" s="3" t="s">
        <v>75</v>
      </c>
      <c r="B10" s="3">
        <v>2</v>
      </c>
      <c r="C10" s="4" t="s">
        <v>76</v>
      </c>
      <c r="D10" s="4" t="s">
        <v>59</v>
      </c>
      <c r="E10" s="4" t="s">
        <v>77</v>
      </c>
      <c r="F10" s="5" t="s">
        <v>78</v>
      </c>
      <c r="G10" s="5" t="s">
        <v>79</v>
      </c>
      <c r="H10" s="3">
        <v>7</v>
      </c>
      <c r="I10" s="3">
        <v>7</v>
      </c>
      <c r="J10" s="3">
        <v>7</v>
      </c>
      <c r="K10" s="4" t="s">
        <v>80</v>
      </c>
      <c r="L10" s="3">
        <v>10</v>
      </c>
      <c r="M10" s="3" t="s">
        <v>33</v>
      </c>
      <c r="N10" s="3" t="s">
        <v>33</v>
      </c>
      <c r="O10" s="3" t="s">
        <v>33</v>
      </c>
      <c r="P10" s="3" t="s">
        <v>33</v>
      </c>
      <c r="Q10" s="3" t="s">
        <v>33</v>
      </c>
      <c r="R10" s="3" t="s">
        <v>33</v>
      </c>
      <c r="S10" s="3" t="s">
        <v>33</v>
      </c>
      <c r="T10" s="6" t="str">
        <f t="shared" si="0"/>
        <v>Ready for client review</v>
      </c>
      <c r="U10" s="7" t="s">
        <v>34</v>
      </c>
      <c r="V10" s="5" t="s">
        <v>81</v>
      </c>
      <c r="W10" s="4" t="s">
        <v>82</v>
      </c>
      <c r="X10" s="4" t="s">
        <v>37</v>
      </c>
      <c r="Y10" s="7" t="s">
        <v>83</v>
      </c>
    </row>
    <row r="11" spans="1:25" ht="89.25" x14ac:dyDescent="0.25">
      <c r="A11" s="3" t="s">
        <v>84</v>
      </c>
      <c r="B11" s="3">
        <v>2</v>
      </c>
      <c r="C11" s="4" t="s">
        <v>85</v>
      </c>
      <c r="D11" s="4"/>
      <c r="E11" s="4" t="s">
        <v>86</v>
      </c>
      <c r="F11" s="5" t="s">
        <v>87</v>
      </c>
      <c r="G11" s="5" t="s">
        <v>88</v>
      </c>
      <c r="H11" s="3">
        <v>11</v>
      </c>
      <c r="I11" s="3">
        <v>11</v>
      </c>
      <c r="J11" s="3">
        <v>11</v>
      </c>
      <c r="K11" s="4" t="s">
        <v>89</v>
      </c>
      <c r="L11" s="3">
        <v>150</v>
      </c>
      <c r="M11" s="3" t="s">
        <v>33</v>
      </c>
      <c r="N11" s="3" t="s">
        <v>33</v>
      </c>
      <c r="O11" s="3" t="s">
        <v>33</v>
      </c>
      <c r="P11" s="3" t="s">
        <v>33</v>
      </c>
      <c r="Q11" s="3" t="s">
        <v>33</v>
      </c>
      <c r="R11" s="3" t="s">
        <v>33</v>
      </c>
      <c r="S11" s="3" t="s">
        <v>33</v>
      </c>
      <c r="T11" s="6" t="str">
        <f t="shared" si="0"/>
        <v>Ready for client review</v>
      </c>
      <c r="U11" s="7" t="s">
        <v>34</v>
      </c>
      <c r="V11" s="5" t="s">
        <v>90</v>
      </c>
      <c r="W11" s="4" t="s">
        <v>91</v>
      </c>
      <c r="X11" s="4" t="s">
        <v>37</v>
      </c>
      <c r="Y11" s="7" t="s">
        <v>92</v>
      </c>
    </row>
    <row r="12" spans="1:25" ht="76.5" x14ac:dyDescent="0.25">
      <c r="A12" s="3" t="s">
        <v>93</v>
      </c>
      <c r="B12" s="3">
        <v>2</v>
      </c>
      <c r="C12" s="4" t="s">
        <v>94</v>
      </c>
      <c r="D12" s="4"/>
      <c r="E12" s="4" t="s">
        <v>95</v>
      </c>
      <c r="F12" s="5" t="s">
        <v>96</v>
      </c>
      <c r="G12" s="5" t="s">
        <v>97</v>
      </c>
      <c r="H12" s="3">
        <v>16</v>
      </c>
      <c r="I12" s="3">
        <v>16</v>
      </c>
      <c r="J12" s="3">
        <v>16</v>
      </c>
      <c r="K12" s="4" t="s">
        <v>98</v>
      </c>
      <c r="L12" s="3">
        <v>300</v>
      </c>
      <c r="M12" s="3" t="s">
        <v>33</v>
      </c>
      <c r="N12" s="3" t="s">
        <v>33</v>
      </c>
      <c r="O12" s="3" t="s">
        <v>33</v>
      </c>
      <c r="P12" s="3" t="s">
        <v>33</v>
      </c>
      <c r="Q12" s="3" t="s">
        <v>33</v>
      </c>
      <c r="R12" s="3" t="s">
        <v>33</v>
      </c>
      <c r="S12" s="3" t="s">
        <v>33</v>
      </c>
      <c r="T12" s="6" t="str">
        <f t="shared" si="0"/>
        <v>Ready for client review</v>
      </c>
      <c r="U12" s="7" t="s">
        <v>34</v>
      </c>
      <c r="V12" s="5" t="s">
        <v>99</v>
      </c>
      <c r="W12" s="4" t="s">
        <v>100</v>
      </c>
      <c r="X12" s="4" t="s">
        <v>37</v>
      </c>
      <c r="Y12" s="7" t="s">
        <v>101</v>
      </c>
    </row>
    <row r="13" spans="1:25" ht="102" x14ac:dyDescent="0.25">
      <c r="A13" s="3" t="s">
        <v>102</v>
      </c>
      <c r="B13" s="3">
        <v>2</v>
      </c>
      <c r="C13" s="4" t="s">
        <v>103</v>
      </c>
      <c r="D13" s="4"/>
      <c r="E13" s="4" t="s">
        <v>104</v>
      </c>
      <c r="F13" s="5" t="s">
        <v>105</v>
      </c>
      <c r="G13" s="5" t="s">
        <v>106</v>
      </c>
      <c r="H13" s="3">
        <v>4</v>
      </c>
      <c r="I13" s="3">
        <v>4</v>
      </c>
      <c r="J13" s="3">
        <v>4</v>
      </c>
      <c r="K13" s="4" t="s">
        <v>107</v>
      </c>
      <c r="L13" s="3">
        <v>40</v>
      </c>
      <c r="M13" s="3" t="s">
        <v>33</v>
      </c>
      <c r="N13" s="3" t="s">
        <v>33</v>
      </c>
      <c r="O13" s="3" t="s">
        <v>33</v>
      </c>
      <c r="P13" s="3" t="s">
        <v>33</v>
      </c>
      <c r="Q13" s="3" t="s">
        <v>33</v>
      </c>
      <c r="R13" s="3" t="s">
        <v>33</v>
      </c>
      <c r="S13" s="3" t="s">
        <v>33</v>
      </c>
      <c r="T13" s="6" t="str">
        <f t="shared" si="0"/>
        <v>Ready for client review</v>
      </c>
      <c r="U13" s="7" t="s">
        <v>34</v>
      </c>
      <c r="V13" s="5" t="s">
        <v>108</v>
      </c>
      <c r="W13" s="4" t="s">
        <v>109</v>
      </c>
      <c r="X13" s="4" t="s">
        <v>37</v>
      </c>
      <c r="Y13" s="7" t="s">
        <v>110</v>
      </c>
    </row>
    <row r="14" spans="1:25" ht="102" x14ac:dyDescent="0.25">
      <c r="A14" s="3" t="s">
        <v>111</v>
      </c>
      <c r="B14" s="3">
        <v>2</v>
      </c>
      <c r="C14" s="4" t="s">
        <v>112</v>
      </c>
      <c r="D14" s="4" t="s">
        <v>113</v>
      </c>
      <c r="E14" s="4" t="s">
        <v>114</v>
      </c>
      <c r="F14" s="5" t="s">
        <v>115</v>
      </c>
      <c r="G14" s="5" t="s">
        <v>116</v>
      </c>
      <c r="H14" s="3">
        <v>4</v>
      </c>
      <c r="I14" s="3">
        <v>4</v>
      </c>
      <c r="J14" s="3">
        <v>2</v>
      </c>
      <c r="K14" s="4" t="s">
        <v>117</v>
      </c>
      <c r="L14" s="3"/>
      <c r="M14" s="3" t="s">
        <v>33</v>
      </c>
      <c r="N14" s="3" t="s">
        <v>33</v>
      </c>
      <c r="O14" s="3" t="s">
        <v>33</v>
      </c>
      <c r="P14" s="3" t="s">
        <v>33</v>
      </c>
      <c r="Q14" s="3" t="s">
        <v>33</v>
      </c>
      <c r="R14" s="3" t="s">
        <v>33</v>
      </c>
      <c r="S14" s="3" t="s">
        <v>33</v>
      </c>
      <c r="T14" s="6" t="str">
        <f t="shared" si="0"/>
        <v>Ready for client review</v>
      </c>
      <c r="U14" s="7" t="s">
        <v>34</v>
      </c>
      <c r="V14" s="5" t="s">
        <v>118</v>
      </c>
      <c r="W14" s="4" t="s">
        <v>119</v>
      </c>
      <c r="X14" s="4" t="s">
        <v>37</v>
      </c>
      <c r="Y14" s="7" t="s">
        <v>120</v>
      </c>
    </row>
    <row r="15" spans="1:25" ht="102" x14ac:dyDescent="0.25">
      <c r="A15" s="3" t="s">
        <v>121</v>
      </c>
      <c r="B15" s="3">
        <v>3</v>
      </c>
      <c r="C15" s="4" t="s">
        <v>122</v>
      </c>
      <c r="D15" s="4"/>
      <c r="E15" s="4" t="s">
        <v>123</v>
      </c>
      <c r="F15" s="5" t="s">
        <v>124</v>
      </c>
      <c r="G15" s="5" t="s">
        <v>125</v>
      </c>
      <c r="H15" s="3">
        <v>4</v>
      </c>
      <c r="I15" s="3">
        <v>4</v>
      </c>
      <c r="J15" s="3">
        <v>3</v>
      </c>
      <c r="K15" s="4" t="s">
        <v>126</v>
      </c>
      <c r="L15" s="3">
        <v>450</v>
      </c>
      <c r="M15" s="3" t="s">
        <v>33</v>
      </c>
      <c r="N15" s="3" t="s">
        <v>33</v>
      </c>
      <c r="O15" s="3" t="s">
        <v>33</v>
      </c>
      <c r="P15" s="3" t="s">
        <v>33</v>
      </c>
      <c r="Q15" s="3" t="s">
        <v>33</v>
      </c>
      <c r="R15" s="3" t="s">
        <v>33</v>
      </c>
      <c r="S15" s="3" t="s">
        <v>33</v>
      </c>
      <c r="T15" s="6" t="str">
        <f t="shared" si="0"/>
        <v>Ready for client review</v>
      </c>
      <c r="U15" s="7" t="s">
        <v>34</v>
      </c>
      <c r="V15" s="5" t="s">
        <v>127</v>
      </c>
      <c r="W15" s="4" t="s">
        <v>128</v>
      </c>
      <c r="X15" s="4" t="s">
        <v>37</v>
      </c>
      <c r="Y15" s="7" t="s">
        <v>129</v>
      </c>
    </row>
    <row r="16" spans="1:25" ht="114.75" x14ac:dyDescent="0.25">
      <c r="A16" s="3" t="s">
        <v>130</v>
      </c>
      <c r="B16" s="3">
        <v>3</v>
      </c>
      <c r="C16" s="4" t="s">
        <v>131</v>
      </c>
      <c r="D16" s="4"/>
      <c r="E16" s="4" t="s">
        <v>132</v>
      </c>
      <c r="F16" s="5" t="s">
        <v>133</v>
      </c>
      <c r="G16" s="5" t="s">
        <v>134</v>
      </c>
      <c r="H16" s="3">
        <v>32</v>
      </c>
      <c r="I16" s="3">
        <v>23</v>
      </c>
      <c r="J16" s="3">
        <v>20</v>
      </c>
      <c r="K16" s="4" t="s">
        <v>135</v>
      </c>
      <c r="L16" s="3">
        <v>200</v>
      </c>
      <c r="M16" s="3" t="s">
        <v>33</v>
      </c>
      <c r="N16" s="3" t="s">
        <v>33</v>
      </c>
      <c r="O16" s="3" t="s">
        <v>33</v>
      </c>
      <c r="P16" s="3" t="s">
        <v>33</v>
      </c>
      <c r="Q16" s="3" t="s">
        <v>33</v>
      </c>
      <c r="R16" s="3" t="s">
        <v>33</v>
      </c>
      <c r="S16" s="3" t="s">
        <v>33</v>
      </c>
      <c r="T16" s="6" t="str">
        <f t="shared" si="0"/>
        <v>Ready for client review</v>
      </c>
      <c r="U16" s="7" t="s">
        <v>34</v>
      </c>
      <c r="V16" s="5" t="s">
        <v>136</v>
      </c>
      <c r="W16" s="4" t="s">
        <v>137</v>
      </c>
      <c r="X16" s="4" t="s">
        <v>37</v>
      </c>
      <c r="Y16" s="7" t="s">
        <v>138</v>
      </c>
    </row>
    <row r="17" spans="1:25" ht="76.5" x14ac:dyDescent="0.25">
      <c r="A17" s="3" t="s">
        <v>139</v>
      </c>
      <c r="B17" s="3">
        <v>3</v>
      </c>
      <c r="C17" s="4" t="s">
        <v>140</v>
      </c>
      <c r="D17" s="4"/>
      <c r="E17" s="4" t="s">
        <v>141</v>
      </c>
      <c r="F17" s="5" t="s">
        <v>142</v>
      </c>
      <c r="G17" s="5" t="s">
        <v>143</v>
      </c>
      <c r="H17" s="3">
        <v>15</v>
      </c>
      <c r="I17" s="3">
        <v>15</v>
      </c>
      <c r="J17" s="3">
        <v>15</v>
      </c>
      <c r="K17" s="4" t="s">
        <v>144</v>
      </c>
      <c r="L17" s="3">
        <v>40</v>
      </c>
      <c r="M17" s="3" t="s">
        <v>33</v>
      </c>
      <c r="N17" s="3" t="s">
        <v>33</v>
      </c>
      <c r="O17" s="3" t="s">
        <v>33</v>
      </c>
      <c r="P17" s="3" t="s">
        <v>33</v>
      </c>
      <c r="Q17" s="3" t="s">
        <v>33</v>
      </c>
      <c r="R17" s="3" t="s">
        <v>33</v>
      </c>
      <c r="S17" s="3" t="s">
        <v>33</v>
      </c>
      <c r="T17" s="6" t="str">
        <f t="shared" si="0"/>
        <v>Ready for client review</v>
      </c>
      <c r="U17" s="7" t="s">
        <v>34</v>
      </c>
      <c r="V17" s="5" t="s">
        <v>145</v>
      </c>
      <c r="W17" s="4" t="s">
        <v>146</v>
      </c>
      <c r="X17" s="4" t="s">
        <v>37</v>
      </c>
      <c r="Y17" s="7" t="s">
        <v>147</v>
      </c>
    </row>
    <row r="18" spans="1:25" ht="76.5" x14ac:dyDescent="0.25">
      <c r="A18" s="3" t="s">
        <v>148</v>
      </c>
      <c r="B18" s="3">
        <v>3</v>
      </c>
      <c r="C18" s="4" t="s">
        <v>149</v>
      </c>
      <c r="D18" s="4"/>
      <c r="E18" s="4" t="s">
        <v>150</v>
      </c>
      <c r="F18" s="5" t="s">
        <v>151</v>
      </c>
      <c r="G18" s="5" t="s">
        <v>152</v>
      </c>
      <c r="H18" s="3">
        <v>8</v>
      </c>
      <c r="I18" s="3">
        <v>8</v>
      </c>
      <c r="J18" s="3">
        <v>8</v>
      </c>
      <c r="K18" s="4" t="s">
        <v>153</v>
      </c>
      <c r="L18" s="3">
        <v>150</v>
      </c>
      <c r="M18" s="3" t="s">
        <v>33</v>
      </c>
      <c r="N18" s="3" t="s">
        <v>33</v>
      </c>
      <c r="O18" s="3" t="s">
        <v>33</v>
      </c>
      <c r="P18" s="3" t="s">
        <v>33</v>
      </c>
      <c r="Q18" s="3" t="s">
        <v>33</v>
      </c>
      <c r="R18" s="3" t="s">
        <v>33</v>
      </c>
      <c r="S18" s="3" t="s">
        <v>33</v>
      </c>
      <c r="T18" s="6" t="str">
        <f t="shared" si="0"/>
        <v>Ready for client review</v>
      </c>
      <c r="U18" s="7" t="s">
        <v>34</v>
      </c>
      <c r="V18" s="5" t="s">
        <v>154</v>
      </c>
      <c r="W18" s="4" t="s">
        <v>155</v>
      </c>
      <c r="X18" s="4" t="s">
        <v>37</v>
      </c>
      <c r="Y18" s="7" t="s">
        <v>156</v>
      </c>
    </row>
    <row r="19" spans="1:25" ht="89.25" x14ac:dyDescent="0.25">
      <c r="A19" s="3" t="s">
        <v>157</v>
      </c>
      <c r="B19" s="3">
        <v>3</v>
      </c>
      <c r="C19" s="4" t="s">
        <v>158</v>
      </c>
      <c r="D19" s="4"/>
      <c r="E19" s="4" t="s">
        <v>159</v>
      </c>
      <c r="F19" s="5" t="s">
        <v>160</v>
      </c>
      <c r="G19" s="5" t="s">
        <v>161</v>
      </c>
      <c r="H19" s="3">
        <v>3</v>
      </c>
      <c r="I19" s="3">
        <v>3</v>
      </c>
      <c r="J19" s="3">
        <v>3</v>
      </c>
      <c r="K19" s="4" t="s">
        <v>162</v>
      </c>
      <c r="L19" s="3">
        <v>50</v>
      </c>
      <c r="M19" s="3" t="s">
        <v>33</v>
      </c>
      <c r="N19" s="3" t="s">
        <v>33</v>
      </c>
      <c r="O19" s="3" t="s">
        <v>33</v>
      </c>
      <c r="P19" s="3" t="s">
        <v>33</v>
      </c>
      <c r="Q19" s="3" t="s">
        <v>33</v>
      </c>
      <c r="R19" s="3" t="s">
        <v>33</v>
      </c>
      <c r="S19" s="3" t="s">
        <v>33</v>
      </c>
      <c r="T19" s="6" t="str">
        <f t="shared" si="0"/>
        <v>Ready for client review</v>
      </c>
      <c r="U19" s="7" t="s">
        <v>34</v>
      </c>
      <c r="V19" s="5" t="s">
        <v>163</v>
      </c>
      <c r="W19" s="4" t="s">
        <v>164</v>
      </c>
      <c r="X19" s="4" t="s">
        <v>37</v>
      </c>
      <c r="Y19" s="7" t="s">
        <v>165</v>
      </c>
    </row>
    <row r="20" spans="1:25" ht="76.5" x14ac:dyDescent="0.25">
      <c r="A20" s="3" t="s">
        <v>166</v>
      </c>
      <c r="B20" s="3">
        <v>4</v>
      </c>
      <c r="C20" s="4" t="s">
        <v>167</v>
      </c>
      <c r="D20" s="4"/>
      <c r="E20" s="4" t="s">
        <v>168</v>
      </c>
      <c r="F20" s="5" t="s">
        <v>169</v>
      </c>
      <c r="G20" s="5" t="s">
        <v>170</v>
      </c>
      <c r="H20" s="3">
        <v>7</v>
      </c>
      <c r="I20" s="3">
        <v>7</v>
      </c>
      <c r="J20" s="3">
        <v>3</v>
      </c>
      <c r="K20" s="4" t="s">
        <v>171</v>
      </c>
      <c r="L20" s="3">
        <v>60</v>
      </c>
      <c r="M20" s="3" t="s">
        <v>33</v>
      </c>
      <c r="N20" s="3" t="s">
        <v>33</v>
      </c>
      <c r="O20" s="3" t="s">
        <v>33</v>
      </c>
      <c r="P20" s="3" t="s">
        <v>33</v>
      </c>
      <c r="Q20" s="3" t="s">
        <v>33</v>
      </c>
      <c r="R20" s="3" t="s">
        <v>33</v>
      </c>
      <c r="S20" s="3" t="s">
        <v>33</v>
      </c>
      <c r="T20" s="6" t="str">
        <f t="shared" si="0"/>
        <v>Ready for client review</v>
      </c>
      <c r="U20" s="7" t="s">
        <v>34</v>
      </c>
      <c r="V20" s="5" t="s">
        <v>172</v>
      </c>
      <c r="W20" s="4" t="s">
        <v>173</v>
      </c>
      <c r="X20" s="4" t="s">
        <v>37</v>
      </c>
      <c r="Y20" s="7" t="s">
        <v>174</v>
      </c>
    </row>
    <row r="21" spans="1:25" ht="89.25" x14ac:dyDescent="0.25">
      <c r="A21" s="3" t="s">
        <v>175</v>
      </c>
      <c r="B21" s="3">
        <v>4</v>
      </c>
      <c r="C21" s="4" t="s">
        <v>176</v>
      </c>
      <c r="D21" s="4"/>
      <c r="E21" s="4" t="s">
        <v>177</v>
      </c>
      <c r="F21" s="5" t="s">
        <v>178</v>
      </c>
      <c r="G21" s="5" t="s">
        <v>179</v>
      </c>
      <c r="H21" s="3">
        <v>11</v>
      </c>
      <c r="I21" s="3">
        <v>11</v>
      </c>
      <c r="J21" s="3">
        <v>11</v>
      </c>
      <c r="K21" s="4" t="s">
        <v>180</v>
      </c>
      <c r="L21" s="3">
        <v>600</v>
      </c>
      <c r="M21" s="3" t="s">
        <v>33</v>
      </c>
      <c r="N21" s="3" t="s">
        <v>33</v>
      </c>
      <c r="O21" s="3" t="s">
        <v>33</v>
      </c>
      <c r="P21" s="3" t="s">
        <v>33</v>
      </c>
      <c r="Q21" s="3" t="s">
        <v>33</v>
      </c>
      <c r="R21" s="3" t="s">
        <v>33</v>
      </c>
      <c r="S21" s="3" t="s">
        <v>33</v>
      </c>
      <c r="T21" s="6" t="str">
        <f t="shared" si="0"/>
        <v>Ready for client review</v>
      </c>
      <c r="U21" s="7" t="s">
        <v>34</v>
      </c>
      <c r="V21" s="5" t="s">
        <v>181</v>
      </c>
      <c r="W21" s="4" t="s">
        <v>182</v>
      </c>
      <c r="X21" s="4" t="s">
        <v>37</v>
      </c>
      <c r="Y21" s="7" t="s">
        <v>183</v>
      </c>
    </row>
    <row r="22" spans="1:25" ht="114.75" x14ac:dyDescent="0.25">
      <c r="A22" s="3" t="s">
        <v>184</v>
      </c>
      <c r="B22" s="3">
        <v>4</v>
      </c>
      <c r="C22" s="4" t="s">
        <v>185</v>
      </c>
      <c r="D22" s="4"/>
      <c r="E22" s="4" t="s">
        <v>186</v>
      </c>
      <c r="F22" s="5" t="s">
        <v>187</v>
      </c>
      <c r="G22" s="5" t="s">
        <v>188</v>
      </c>
      <c r="H22" s="3">
        <v>24</v>
      </c>
      <c r="I22" s="3">
        <v>24</v>
      </c>
      <c r="J22" s="3">
        <v>23</v>
      </c>
      <c r="K22" s="4" t="s">
        <v>189</v>
      </c>
      <c r="L22" s="3">
        <v>40</v>
      </c>
      <c r="M22" s="3" t="s">
        <v>33</v>
      </c>
      <c r="N22" s="3" t="s">
        <v>33</v>
      </c>
      <c r="O22" s="3" t="s">
        <v>33</v>
      </c>
      <c r="P22" s="3" t="s">
        <v>33</v>
      </c>
      <c r="Q22" s="3" t="s">
        <v>33</v>
      </c>
      <c r="R22" s="3" t="s">
        <v>33</v>
      </c>
      <c r="S22" s="3" t="s">
        <v>33</v>
      </c>
      <c r="T22" s="6" t="str">
        <f t="shared" si="0"/>
        <v>Ready for client review</v>
      </c>
      <c r="U22" s="7" t="s">
        <v>34</v>
      </c>
      <c r="V22" s="5" t="s">
        <v>190</v>
      </c>
      <c r="W22" s="4" t="s">
        <v>191</v>
      </c>
      <c r="X22" s="4" t="s">
        <v>37</v>
      </c>
      <c r="Y22" s="7" t="s">
        <v>192</v>
      </c>
    </row>
    <row r="23" spans="1:25" ht="76.5" x14ac:dyDescent="0.25">
      <c r="A23" s="3" t="s">
        <v>193</v>
      </c>
      <c r="B23" s="3">
        <v>4</v>
      </c>
      <c r="C23" s="4" t="s">
        <v>194</v>
      </c>
      <c r="D23" s="4" t="s">
        <v>195</v>
      </c>
      <c r="E23" s="4" t="s">
        <v>196</v>
      </c>
      <c r="F23" s="5" t="s">
        <v>197</v>
      </c>
      <c r="G23" s="5" t="s">
        <v>198</v>
      </c>
      <c r="H23" s="3">
        <v>4</v>
      </c>
      <c r="I23" s="3">
        <v>4</v>
      </c>
      <c r="J23" s="3">
        <v>3</v>
      </c>
      <c r="K23" s="4" t="s">
        <v>199</v>
      </c>
      <c r="L23" s="3">
        <v>1100</v>
      </c>
      <c r="M23" s="3" t="s">
        <v>33</v>
      </c>
      <c r="N23" s="3" t="s">
        <v>33</v>
      </c>
      <c r="O23" s="3" t="s">
        <v>33</v>
      </c>
      <c r="P23" s="3" t="s">
        <v>33</v>
      </c>
      <c r="Q23" s="3" t="s">
        <v>33</v>
      </c>
      <c r="R23" s="3" t="s">
        <v>33</v>
      </c>
      <c r="S23" s="3" t="s">
        <v>33</v>
      </c>
      <c r="T23" s="6" t="str">
        <f t="shared" si="0"/>
        <v>Ready for client review</v>
      </c>
      <c r="U23" s="7" t="s">
        <v>34</v>
      </c>
      <c r="V23" s="5" t="s">
        <v>200</v>
      </c>
      <c r="W23" s="4" t="s">
        <v>201</v>
      </c>
      <c r="X23" s="4" t="s">
        <v>37</v>
      </c>
      <c r="Y23" s="7" t="s">
        <v>202</v>
      </c>
    </row>
    <row r="24" spans="1:25" ht="89.25" x14ac:dyDescent="0.25">
      <c r="A24" s="3" t="s">
        <v>203</v>
      </c>
      <c r="B24" s="3">
        <v>4</v>
      </c>
      <c r="C24" s="4" t="s">
        <v>194</v>
      </c>
      <c r="D24" s="4" t="s">
        <v>204</v>
      </c>
      <c r="E24" s="4" t="s">
        <v>205</v>
      </c>
      <c r="F24" s="5" t="s">
        <v>206</v>
      </c>
      <c r="G24" s="5" t="s">
        <v>207</v>
      </c>
      <c r="H24" s="3">
        <v>12</v>
      </c>
      <c r="I24" s="3">
        <v>12</v>
      </c>
      <c r="J24" s="3">
        <v>12</v>
      </c>
      <c r="K24" s="4" t="s">
        <v>208</v>
      </c>
      <c r="L24" s="3">
        <v>1300</v>
      </c>
      <c r="M24" s="3" t="s">
        <v>33</v>
      </c>
      <c r="N24" s="3" t="s">
        <v>33</v>
      </c>
      <c r="O24" s="3" t="s">
        <v>33</v>
      </c>
      <c r="P24" s="3" t="s">
        <v>33</v>
      </c>
      <c r="Q24" s="3" t="s">
        <v>33</v>
      </c>
      <c r="R24" s="3" t="s">
        <v>33</v>
      </c>
      <c r="S24" s="3" t="s">
        <v>33</v>
      </c>
      <c r="T24" s="6" t="str">
        <f t="shared" si="0"/>
        <v>Ready for client review</v>
      </c>
      <c r="U24" s="7" t="s">
        <v>34</v>
      </c>
      <c r="V24" s="5" t="s">
        <v>209</v>
      </c>
      <c r="W24" s="4" t="s">
        <v>210</v>
      </c>
      <c r="X24" s="4" t="s">
        <v>37</v>
      </c>
      <c r="Y24" s="7" t="s">
        <v>211</v>
      </c>
    </row>
    <row r="25" spans="1:25" ht="63.75" x14ac:dyDescent="0.25">
      <c r="A25" s="3" t="s">
        <v>212</v>
      </c>
      <c r="B25" s="3">
        <v>5</v>
      </c>
      <c r="C25" s="4" t="s">
        <v>213</v>
      </c>
      <c r="D25" s="4" t="s">
        <v>214</v>
      </c>
      <c r="E25" s="4" t="s">
        <v>215</v>
      </c>
      <c r="F25" s="5" t="s">
        <v>216</v>
      </c>
      <c r="G25" s="5" t="s">
        <v>217</v>
      </c>
      <c r="H25" s="3">
        <v>5</v>
      </c>
      <c r="I25" s="3">
        <v>5</v>
      </c>
      <c r="J25" s="3">
        <v>4</v>
      </c>
      <c r="K25" s="4" t="s">
        <v>218</v>
      </c>
      <c r="L25" s="3">
        <v>300</v>
      </c>
      <c r="M25" s="3" t="s">
        <v>33</v>
      </c>
      <c r="N25" s="3" t="s">
        <v>33</v>
      </c>
      <c r="O25" s="3" t="s">
        <v>33</v>
      </c>
      <c r="P25" s="3" t="s">
        <v>33</v>
      </c>
      <c r="Q25" s="3" t="s">
        <v>33</v>
      </c>
      <c r="R25" s="3" t="s">
        <v>33</v>
      </c>
      <c r="S25" s="3" t="s">
        <v>33</v>
      </c>
      <c r="T25" s="6" t="str">
        <f t="shared" si="0"/>
        <v>Ready for client review</v>
      </c>
      <c r="U25" s="7" t="s">
        <v>34</v>
      </c>
      <c r="V25" s="5" t="s">
        <v>219</v>
      </c>
      <c r="W25" s="4" t="s">
        <v>220</v>
      </c>
      <c r="X25" s="4" t="s">
        <v>37</v>
      </c>
      <c r="Y25" s="7" t="s">
        <v>221</v>
      </c>
    </row>
    <row r="26" spans="1:25" ht="89.25" x14ac:dyDescent="0.25">
      <c r="A26" s="3" t="s">
        <v>222</v>
      </c>
      <c r="B26" s="3">
        <v>5</v>
      </c>
      <c r="C26" s="4" t="s">
        <v>213</v>
      </c>
      <c r="D26" s="4" t="s">
        <v>223</v>
      </c>
      <c r="E26" s="4" t="s">
        <v>224</v>
      </c>
      <c r="F26" s="5" t="s">
        <v>225</v>
      </c>
      <c r="G26" s="5" t="s">
        <v>226</v>
      </c>
      <c r="H26" s="3">
        <v>94</v>
      </c>
      <c r="I26" s="3">
        <v>94</v>
      </c>
      <c r="J26" s="3">
        <v>91</v>
      </c>
      <c r="K26" s="4" t="s">
        <v>227</v>
      </c>
      <c r="L26" s="3">
        <v>200</v>
      </c>
      <c r="M26" s="3" t="s">
        <v>33</v>
      </c>
      <c r="N26" s="3" t="s">
        <v>33</v>
      </c>
      <c r="O26" s="3" t="s">
        <v>33</v>
      </c>
      <c r="P26" s="3" t="s">
        <v>33</v>
      </c>
      <c r="Q26" s="3" t="s">
        <v>33</v>
      </c>
      <c r="R26" s="3" t="s">
        <v>33</v>
      </c>
      <c r="S26" s="3" t="s">
        <v>33</v>
      </c>
      <c r="T26" s="6" t="str">
        <f t="shared" si="0"/>
        <v>Ready for client review</v>
      </c>
      <c r="U26" s="7" t="s">
        <v>34</v>
      </c>
      <c r="V26" s="5" t="s">
        <v>228</v>
      </c>
      <c r="W26" s="4" t="s">
        <v>229</v>
      </c>
      <c r="X26" s="4" t="s">
        <v>37</v>
      </c>
      <c r="Y26" s="7" t="s">
        <v>230</v>
      </c>
    </row>
    <row r="27" spans="1:25" ht="89.25" x14ac:dyDescent="0.25">
      <c r="A27" s="3" t="s">
        <v>231</v>
      </c>
      <c r="B27" s="3">
        <v>0</v>
      </c>
      <c r="C27" s="4" t="s">
        <v>213</v>
      </c>
      <c r="D27" s="4" t="s">
        <v>232</v>
      </c>
      <c r="E27" s="4" t="s">
        <v>233</v>
      </c>
      <c r="F27" s="5" t="s">
        <v>234</v>
      </c>
      <c r="G27" s="5" t="s">
        <v>235</v>
      </c>
      <c r="H27" s="3">
        <v>161</v>
      </c>
      <c r="I27" s="3">
        <v>161</v>
      </c>
      <c r="J27" s="3">
        <v>148</v>
      </c>
      <c r="K27" s="4" t="s">
        <v>236</v>
      </c>
      <c r="L27" s="3">
        <v>1100</v>
      </c>
      <c r="M27" s="3" t="s">
        <v>33</v>
      </c>
      <c r="N27" s="3" t="s">
        <v>33</v>
      </c>
      <c r="O27" s="3" t="s">
        <v>33</v>
      </c>
      <c r="P27" s="3" t="s">
        <v>33</v>
      </c>
      <c r="Q27" s="3" t="s">
        <v>33</v>
      </c>
      <c r="R27" s="3" t="s">
        <v>33</v>
      </c>
      <c r="S27" s="3" t="s">
        <v>33</v>
      </c>
      <c r="T27" s="6" t="str">
        <f t="shared" si="0"/>
        <v>Ready for client review</v>
      </c>
      <c r="U27" s="7" t="s">
        <v>34</v>
      </c>
      <c r="V27" s="5" t="s">
        <v>237</v>
      </c>
      <c r="W27" s="4" t="s">
        <v>238</v>
      </c>
      <c r="X27" s="4" t="s">
        <v>37</v>
      </c>
      <c r="Y27" s="7" t="s">
        <v>239</v>
      </c>
    </row>
    <row r="28" spans="1:25" ht="76.5" x14ac:dyDescent="0.25">
      <c r="A28" s="3" t="s">
        <v>240</v>
      </c>
      <c r="B28" s="3">
        <v>5</v>
      </c>
      <c r="C28" s="4" t="s">
        <v>213</v>
      </c>
      <c r="D28" s="4" t="s">
        <v>241</v>
      </c>
      <c r="E28" s="4" t="s">
        <v>242</v>
      </c>
      <c r="F28" s="5" t="s">
        <v>243</v>
      </c>
      <c r="G28" s="5" t="s">
        <v>244</v>
      </c>
      <c r="H28" s="3">
        <v>67</v>
      </c>
      <c r="I28" s="3">
        <v>67</v>
      </c>
      <c r="J28" s="3">
        <v>63</v>
      </c>
      <c r="K28" s="4" t="s">
        <v>245</v>
      </c>
      <c r="L28" s="3">
        <v>350</v>
      </c>
      <c r="M28" s="3" t="s">
        <v>33</v>
      </c>
      <c r="N28" s="3" t="s">
        <v>33</v>
      </c>
      <c r="O28" s="3" t="s">
        <v>33</v>
      </c>
      <c r="P28" s="3" t="s">
        <v>33</v>
      </c>
      <c r="Q28" s="3" t="s">
        <v>33</v>
      </c>
      <c r="R28" s="3" t="s">
        <v>33</v>
      </c>
      <c r="S28" s="3" t="s">
        <v>33</v>
      </c>
      <c r="T28" s="6" t="str">
        <f t="shared" si="0"/>
        <v>Ready for client review</v>
      </c>
      <c r="U28" s="7" t="s">
        <v>34</v>
      </c>
      <c r="V28" s="5" t="s">
        <v>246</v>
      </c>
      <c r="W28" s="4" t="s">
        <v>247</v>
      </c>
      <c r="X28" s="4" t="s">
        <v>37</v>
      </c>
      <c r="Y28" s="7" t="s">
        <v>248</v>
      </c>
    </row>
    <row r="29" spans="1:25" ht="63.75" x14ac:dyDescent="0.25">
      <c r="A29" s="3" t="s">
        <v>249</v>
      </c>
      <c r="B29" s="3">
        <v>5</v>
      </c>
      <c r="C29" s="4" t="s">
        <v>213</v>
      </c>
      <c r="D29" s="4" t="s">
        <v>250</v>
      </c>
      <c r="E29" s="4" t="s">
        <v>251</v>
      </c>
      <c r="F29" s="5" t="s">
        <v>252</v>
      </c>
      <c r="G29" s="5" t="s">
        <v>253</v>
      </c>
      <c r="H29" s="3">
        <v>31</v>
      </c>
      <c r="I29" s="3">
        <v>31</v>
      </c>
      <c r="J29" s="3">
        <v>30</v>
      </c>
      <c r="K29" s="4" t="s">
        <v>254</v>
      </c>
      <c r="L29" s="3">
        <v>150</v>
      </c>
      <c r="M29" s="3" t="s">
        <v>33</v>
      </c>
      <c r="N29" s="3" t="s">
        <v>33</v>
      </c>
      <c r="O29" s="3" t="s">
        <v>33</v>
      </c>
      <c r="P29" s="3" t="s">
        <v>33</v>
      </c>
      <c r="Q29" s="3" t="s">
        <v>33</v>
      </c>
      <c r="R29" s="3" t="s">
        <v>33</v>
      </c>
      <c r="S29" s="3" t="s">
        <v>33</v>
      </c>
      <c r="T29" s="6" t="str">
        <f t="shared" si="0"/>
        <v>Ready for client review</v>
      </c>
      <c r="U29" s="7" t="s">
        <v>34</v>
      </c>
      <c r="V29" s="5" t="s">
        <v>255</v>
      </c>
      <c r="W29" s="4" t="s">
        <v>256</v>
      </c>
      <c r="X29" s="4" t="s">
        <v>37</v>
      </c>
      <c r="Y29" s="7" t="s">
        <v>257</v>
      </c>
    </row>
    <row r="30" spans="1:25" ht="63.75" x14ac:dyDescent="0.25">
      <c r="A30" s="3" t="s">
        <v>258</v>
      </c>
      <c r="B30" s="3">
        <v>5</v>
      </c>
      <c r="C30" s="4" t="s">
        <v>259</v>
      </c>
      <c r="D30" s="4"/>
      <c r="E30" s="4" t="s">
        <v>260</v>
      </c>
      <c r="F30" s="5" t="s">
        <v>261</v>
      </c>
      <c r="G30" s="5" t="s">
        <v>262</v>
      </c>
      <c r="H30" s="3">
        <v>5</v>
      </c>
      <c r="I30" s="3">
        <v>5</v>
      </c>
      <c r="J30" s="3">
        <v>5</v>
      </c>
      <c r="K30" s="4" t="s">
        <v>263</v>
      </c>
      <c r="L30" s="3">
        <v>150</v>
      </c>
      <c r="M30" s="3" t="s">
        <v>33</v>
      </c>
      <c r="N30" s="3" t="s">
        <v>33</v>
      </c>
      <c r="O30" s="3" t="s">
        <v>33</v>
      </c>
      <c r="P30" s="3" t="s">
        <v>33</v>
      </c>
      <c r="Q30" s="3" t="s">
        <v>33</v>
      </c>
      <c r="R30" s="3" t="s">
        <v>33</v>
      </c>
      <c r="S30" s="3" t="s">
        <v>33</v>
      </c>
      <c r="T30" s="6" t="str">
        <f t="shared" si="0"/>
        <v>Ready for client review</v>
      </c>
      <c r="U30" s="7" t="s">
        <v>34</v>
      </c>
      <c r="V30" s="5" t="s">
        <v>264</v>
      </c>
      <c r="W30" s="4" t="s">
        <v>265</v>
      </c>
      <c r="X30" s="4" t="s">
        <v>37</v>
      </c>
      <c r="Y30" s="7" t="s">
        <v>266</v>
      </c>
    </row>
    <row r="31" spans="1:25" ht="76.5" x14ac:dyDescent="0.25">
      <c r="A31" s="3" t="s">
        <v>267</v>
      </c>
      <c r="B31" s="3">
        <v>6</v>
      </c>
      <c r="C31" s="4" t="s">
        <v>268</v>
      </c>
      <c r="D31" s="4"/>
      <c r="E31" s="4" t="s">
        <v>269</v>
      </c>
      <c r="F31" s="5" t="s">
        <v>270</v>
      </c>
      <c r="G31" s="5" t="s">
        <v>271</v>
      </c>
      <c r="H31" s="3">
        <v>1</v>
      </c>
      <c r="I31" s="3">
        <v>1</v>
      </c>
      <c r="J31" s="3">
        <v>1</v>
      </c>
      <c r="K31" s="4" t="s">
        <v>272</v>
      </c>
      <c r="L31" s="3">
        <v>900</v>
      </c>
      <c r="M31" s="3" t="s">
        <v>33</v>
      </c>
      <c r="N31" s="3" t="s">
        <v>33</v>
      </c>
      <c r="O31" s="3" t="s">
        <v>33</v>
      </c>
      <c r="P31" s="3" t="s">
        <v>33</v>
      </c>
      <c r="Q31" s="3" t="s">
        <v>33</v>
      </c>
      <c r="R31" s="3" t="s">
        <v>33</v>
      </c>
      <c r="S31" s="3" t="s">
        <v>33</v>
      </c>
      <c r="T31" s="6" t="str">
        <f t="shared" si="0"/>
        <v>Ready for client review</v>
      </c>
      <c r="U31" s="7" t="s">
        <v>34</v>
      </c>
      <c r="V31" s="5" t="s">
        <v>273</v>
      </c>
      <c r="W31" s="4" t="s">
        <v>274</v>
      </c>
      <c r="X31" s="4" t="s">
        <v>37</v>
      </c>
      <c r="Y31" s="7" t="s">
        <v>275</v>
      </c>
    </row>
    <row r="32" spans="1:25" ht="89.25" x14ac:dyDescent="0.25">
      <c r="A32" s="3" t="s">
        <v>276</v>
      </c>
      <c r="B32" s="3">
        <v>6</v>
      </c>
      <c r="C32" s="4" t="s">
        <v>277</v>
      </c>
      <c r="D32" s="4"/>
      <c r="E32" s="4" t="s">
        <v>278</v>
      </c>
      <c r="F32" s="5" t="s">
        <v>279</v>
      </c>
      <c r="G32" s="5" t="s">
        <v>280</v>
      </c>
      <c r="H32" s="3">
        <v>2</v>
      </c>
      <c r="I32" s="3">
        <v>2</v>
      </c>
      <c r="J32" s="3">
        <v>2</v>
      </c>
      <c r="K32" s="4" t="s">
        <v>281</v>
      </c>
      <c r="L32" s="3">
        <v>1000</v>
      </c>
      <c r="M32" s="3" t="s">
        <v>33</v>
      </c>
      <c r="N32" s="3" t="s">
        <v>33</v>
      </c>
      <c r="O32" s="3" t="s">
        <v>33</v>
      </c>
      <c r="P32" s="3" t="s">
        <v>33</v>
      </c>
      <c r="Q32" s="3" t="s">
        <v>33</v>
      </c>
      <c r="R32" s="3" t="s">
        <v>33</v>
      </c>
      <c r="S32" s="3" t="s">
        <v>33</v>
      </c>
      <c r="T32" s="6" t="str">
        <f t="shared" si="0"/>
        <v>Ready for client review</v>
      </c>
      <c r="U32" s="7" t="s">
        <v>34</v>
      </c>
      <c r="V32" s="5" t="s">
        <v>282</v>
      </c>
      <c r="W32" s="4" t="s">
        <v>283</v>
      </c>
      <c r="X32" s="4" t="s">
        <v>37</v>
      </c>
      <c r="Y32" s="7" t="s">
        <v>284</v>
      </c>
    </row>
    <row r="33" spans="1:25" ht="63.75" x14ac:dyDescent="0.25">
      <c r="A33" s="3" t="s">
        <v>285</v>
      </c>
      <c r="B33" s="3">
        <v>6</v>
      </c>
      <c r="C33" s="4" t="s">
        <v>286</v>
      </c>
      <c r="D33" s="4"/>
      <c r="E33" s="4" t="s">
        <v>287</v>
      </c>
      <c r="F33" s="5" t="s">
        <v>288</v>
      </c>
      <c r="G33" s="5" t="s">
        <v>289</v>
      </c>
      <c r="H33" s="3">
        <v>2</v>
      </c>
      <c r="I33" s="3">
        <v>2</v>
      </c>
      <c r="J33" s="3">
        <v>2</v>
      </c>
      <c r="K33" s="4" t="s">
        <v>290</v>
      </c>
      <c r="L33" s="3">
        <v>2100</v>
      </c>
      <c r="M33" s="3" t="s">
        <v>33</v>
      </c>
      <c r="N33" s="3" t="s">
        <v>33</v>
      </c>
      <c r="O33" s="3" t="s">
        <v>33</v>
      </c>
      <c r="P33" s="3" t="s">
        <v>33</v>
      </c>
      <c r="Q33" s="3" t="s">
        <v>33</v>
      </c>
      <c r="R33" s="3" t="s">
        <v>33</v>
      </c>
      <c r="S33" s="3" t="s">
        <v>33</v>
      </c>
      <c r="T33" s="6" t="str">
        <f t="shared" si="0"/>
        <v>Ready for client review</v>
      </c>
      <c r="U33" s="7" t="s">
        <v>34</v>
      </c>
      <c r="V33" s="5" t="s">
        <v>291</v>
      </c>
      <c r="W33" s="4" t="s">
        <v>292</v>
      </c>
      <c r="X33" s="4" t="s">
        <v>37</v>
      </c>
      <c r="Y33" s="7" t="s">
        <v>293</v>
      </c>
    </row>
    <row r="34" spans="1:25" ht="76.5" x14ac:dyDescent="0.25">
      <c r="A34" s="3" t="s">
        <v>294</v>
      </c>
      <c r="B34" s="3">
        <v>6</v>
      </c>
      <c r="C34" s="4" t="s">
        <v>295</v>
      </c>
      <c r="D34" s="4" t="s">
        <v>296</v>
      </c>
      <c r="E34" s="4" t="s">
        <v>297</v>
      </c>
      <c r="F34" s="5" t="s">
        <v>298</v>
      </c>
      <c r="G34" s="5" t="s">
        <v>299</v>
      </c>
      <c r="H34" s="3">
        <v>8</v>
      </c>
      <c r="I34" s="3">
        <v>8</v>
      </c>
      <c r="J34" s="3">
        <v>8</v>
      </c>
      <c r="K34" s="4" t="s">
        <v>300</v>
      </c>
      <c r="L34" s="3">
        <v>1600</v>
      </c>
      <c r="M34" s="3" t="s">
        <v>33</v>
      </c>
      <c r="N34" s="3" t="s">
        <v>33</v>
      </c>
      <c r="O34" s="3" t="s">
        <v>33</v>
      </c>
      <c r="P34" s="3" t="s">
        <v>33</v>
      </c>
      <c r="Q34" s="3" t="s">
        <v>33</v>
      </c>
      <c r="R34" s="3" t="s">
        <v>33</v>
      </c>
      <c r="S34" s="3" t="s">
        <v>33</v>
      </c>
      <c r="T34" s="6" t="str">
        <f t="shared" si="0"/>
        <v>Ready for client review</v>
      </c>
      <c r="U34" s="7" t="s">
        <v>34</v>
      </c>
      <c r="V34" s="5" t="s">
        <v>301</v>
      </c>
      <c r="W34" s="4" t="s">
        <v>302</v>
      </c>
      <c r="X34" s="4" t="s">
        <v>37</v>
      </c>
      <c r="Y34" s="7" t="s">
        <v>303</v>
      </c>
    </row>
    <row r="35" spans="1:25" ht="63.75" x14ac:dyDescent="0.25">
      <c r="A35" s="3" t="s">
        <v>304</v>
      </c>
      <c r="B35" s="3">
        <v>6</v>
      </c>
      <c r="C35" s="4" t="s">
        <v>295</v>
      </c>
      <c r="D35" s="4" t="s">
        <v>305</v>
      </c>
      <c r="E35" s="4" t="s">
        <v>306</v>
      </c>
      <c r="F35" s="5" t="s">
        <v>307</v>
      </c>
      <c r="G35" s="5" t="s">
        <v>308</v>
      </c>
      <c r="H35" s="3">
        <v>14</v>
      </c>
      <c r="I35" s="3">
        <v>14</v>
      </c>
      <c r="J35" s="3">
        <v>12</v>
      </c>
      <c r="K35" s="4" t="s">
        <v>309</v>
      </c>
      <c r="L35" s="3">
        <v>300</v>
      </c>
      <c r="M35" s="3" t="s">
        <v>33</v>
      </c>
      <c r="N35" s="3" t="s">
        <v>33</v>
      </c>
      <c r="O35" s="3" t="s">
        <v>33</v>
      </c>
      <c r="P35" s="3" t="s">
        <v>33</v>
      </c>
      <c r="Q35" s="3" t="s">
        <v>33</v>
      </c>
      <c r="R35" s="3" t="s">
        <v>33</v>
      </c>
      <c r="S35" s="3" t="s">
        <v>33</v>
      </c>
      <c r="T35" s="6" t="str">
        <f t="shared" si="0"/>
        <v>Ready for client review</v>
      </c>
      <c r="U35" s="7" t="s">
        <v>34</v>
      </c>
      <c r="V35" s="5" t="s">
        <v>310</v>
      </c>
      <c r="W35" s="4" t="s">
        <v>311</v>
      </c>
      <c r="X35" s="4" t="s">
        <v>37</v>
      </c>
      <c r="Y35" s="7" t="s">
        <v>312</v>
      </c>
    </row>
    <row r="36" spans="1:25" ht="89.25" x14ac:dyDescent="0.25">
      <c r="A36" s="3" t="s">
        <v>313</v>
      </c>
      <c r="B36" s="3">
        <v>7</v>
      </c>
      <c r="C36" s="4" t="s">
        <v>295</v>
      </c>
      <c r="D36" s="4" t="s">
        <v>314</v>
      </c>
      <c r="E36" s="4" t="s">
        <v>315</v>
      </c>
      <c r="F36" s="5" t="s">
        <v>316</v>
      </c>
      <c r="G36" s="5" t="s">
        <v>317</v>
      </c>
      <c r="H36" s="3">
        <v>1</v>
      </c>
      <c r="I36" s="3">
        <v>1</v>
      </c>
      <c r="J36" s="3">
        <v>1</v>
      </c>
      <c r="K36" s="4" t="s">
        <v>318</v>
      </c>
      <c r="L36" s="3">
        <v>50</v>
      </c>
      <c r="M36" s="3" t="s">
        <v>33</v>
      </c>
      <c r="N36" s="3" t="s">
        <v>33</v>
      </c>
      <c r="O36" s="3" t="s">
        <v>33</v>
      </c>
      <c r="P36" s="3" t="s">
        <v>33</v>
      </c>
      <c r="Q36" s="3" t="s">
        <v>33</v>
      </c>
      <c r="R36" s="3" t="s">
        <v>33</v>
      </c>
      <c r="S36" s="3" t="s">
        <v>33</v>
      </c>
      <c r="T36" s="6" t="str">
        <f t="shared" si="0"/>
        <v>Ready for client review</v>
      </c>
      <c r="U36" s="7" t="s">
        <v>34</v>
      </c>
      <c r="V36" s="5" t="s">
        <v>319</v>
      </c>
      <c r="W36" s="4" t="s">
        <v>320</v>
      </c>
      <c r="X36" s="4" t="s">
        <v>37</v>
      </c>
      <c r="Y36" s="7" t="s">
        <v>321</v>
      </c>
    </row>
    <row r="37" spans="1:25" ht="89.25" x14ac:dyDescent="0.25">
      <c r="A37" s="3" t="s">
        <v>322</v>
      </c>
      <c r="B37" s="3">
        <v>7</v>
      </c>
      <c r="C37" s="4" t="s">
        <v>295</v>
      </c>
      <c r="D37" s="4" t="s">
        <v>323</v>
      </c>
      <c r="E37" s="4" t="s">
        <v>324</v>
      </c>
      <c r="F37" s="5" t="s">
        <v>325</v>
      </c>
      <c r="G37" s="5" t="s">
        <v>326</v>
      </c>
      <c r="H37" s="3">
        <v>0</v>
      </c>
      <c r="I37" s="3">
        <v>0</v>
      </c>
      <c r="J37" s="3">
        <v>0</v>
      </c>
      <c r="K37" s="4" t="s">
        <v>327</v>
      </c>
      <c r="L37" s="3">
        <v>80</v>
      </c>
      <c r="M37" s="3" t="s">
        <v>33</v>
      </c>
      <c r="N37" s="3" t="s">
        <v>33</v>
      </c>
      <c r="O37" s="3" t="s">
        <v>33</v>
      </c>
      <c r="P37" s="3" t="s">
        <v>33</v>
      </c>
      <c r="Q37" s="3" t="s">
        <v>33</v>
      </c>
      <c r="R37" s="3" t="s">
        <v>33</v>
      </c>
      <c r="S37" s="3" t="s">
        <v>33</v>
      </c>
      <c r="T37" s="6" t="str">
        <f t="shared" si="0"/>
        <v>Ready for client review</v>
      </c>
      <c r="U37" s="7" t="s">
        <v>34</v>
      </c>
      <c r="V37" s="5" t="s">
        <v>328</v>
      </c>
      <c r="W37" s="4" t="s">
        <v>329</v>
      </c>
      <c r="X37" s="4" t="s">
        <v>37</v>
      </c>
      <c r="Y37" s="7" t="s">
        <v>330</v>
      </c>
    </row>
    <row r="38" spans="1:25" ht="102" x14ac:dyDescent="0.25">
      <c r="A38" s="3" t="s">
        <v>331</v>
      </c>
      <c r="B38" s="3">
        <v>7</v>
      </c>
      <c r="C38" s="4" t="s">
        <v>295</v>
      </c>
      <c r="D38" s="4" t="s">
        <v>332</v>
      </c>
      <c r="E38" s="4" t="s">
        <v>333</v>
      </c>
      <c r="F38" s="5" t="s">
        <v>334</v>
      </c>
      <c r="G38" s="5" t="s">
        <v>335</v>
      </c>
      <c r="H38" s="3">
        <v>2</v>
      </c>
      <c r="I38" s="3">
        <v>2</v>
      </c>
      <c r="J38" s="3">
        <v>2</v>
      </c>
      <c r="K38" s="4" t="s">
        <v>336</v>
      </c>
      <c r="L38" s="3">
        <v>600</v>
      </c>
      <c r="M38" s="3" t="s">
        <v>33</v>
      </c>
      <c r="N38" s="3" t="s">
        <v>33</v>
      </c>
      <c r="O38" s="3" t="s">
        <v>33</v>
      </c>
      <c r="P38" s="3" t="s">
        <v>33</v>
      </c>
      <c r="Q38" s="3" t="s">
        <v>33</v>
      </c>
      <c r="R38" s="3" t="s">
        <v>33</v>
      </c>
      <c r="S38" s="3" t="s">
        <v>33</v>
      </c>
      <c r="T38" s="6" t="str">
        <f t="shared" si="0"/>
        <v>Ready for client review</v>
      </c>
      <c r="U38" s="7" t="s">
        <v>34</v>
      </c>
      <c r="V38" s="5" t="s">
        <v>337</v>
      </c>
      <c r="W38" s="4" t="s">
        <v>338</v>
      </c>
      <c r="X38" s="4" t="s">
        <v>37</v>
      </c>
      <c r="Y38" s="7" t="s">
        <v>339</v>
      </c>
    </row>
    <row r="39" spans="1:25" ht="63.75" x14ac:dyDescent="0.25">
      <c r="A39" s="3" t="s">
        <v>340</v>
      </c>
      <c r="B39" s="3">
        <v>7</v>
      </c>
      <c r="C39" s="4" t="s">
        <v>295</v>
      </c>
      <c r="D39" s="4" t="s">
        <v>341</v>
      </c>
      <c r="E39" s="4" t="s">
        <v>342</v>
      </c>
      <c r="F39" s="5" t="s">
        <v>343</v>
      </c>
      <c r="G39" s="5" t="s">
        <v>344</v>
      </c>
      <c r="H39" s="3">
        <v>6</v>
      </c>
      <c r="I39" s="3">
        <v>6</v>
      </c>
      <c r="J39" s="3">
        <v>5</v>
      </c>
      <c r="K39" s="4" t="s">
        <v>345</v>
      </c>
      <c r="L39" s="3">
        <v>150</v>
      </c>
      <c r="M39" s="3" t="s">
        <v>33</v>
      </c>
      <c r="N39" s="3" t="s">
        <v>33</v>
      </c>
      <c r="O39" s="3" t="s">
        <v>33</v>
      </c>
      <c r="P39" s="3" t="s">
        <v>33</v>
      </c>
      <c r="Q39" s="3" t="s">
        <v>33</v>
      </c>
      <c r="R39" s="3" t="s">
        <v>33</v>
      </c>
      <c r="S39" s="3" t="s">
        <v>33</v>
      </c>
      <c r="T39" s="6" t="str">
        <f t="shared" si="0"/>
        <v>Ready for client review</v>
      </c>
      <c r="U39" s="7" t="s">
        <v>34</v>
      </c>
      <c r="V39" s="5" t="s">
        <v>346</v>
      </c>
      <c r="W39" s="4" t="s">
        <v>347</v>
      </c>
      <c r="X39" s="4" t="s">
        <v>37</v>
      </c>
      <c r="Y39" s="7" t="s">
        <v>348</v>
      </c>
    </row>
    <row r="40" spans="1:25" ht="114.75" x14ac:dyDescent="0.25">
      <c r="A40" s="3" t="s">
        <v>349</v>
      </c>
      <c r="B40" s="3">
        <v>7</v>
      </c>
      <c r="C40" s="4" t="s">
        <v>295</v>
      </c>
      <c r="D40" s="4" t="s">
        <v>350</v>
      </c>
      <c r="E40" s="4" t="s">
        <v>351</v>
      </c>
      <c r="F40" s="5" t="s">
        <v>352</v>
      </c>
      <c r="G40" s="5" t="s">
        <v>353</v>
      </c>
      <c r="H40" s="3">
        <v>33</v>
      </c>
      <c r="I40" s="3">
        <v>33</v>
      </c>
      <c r="J40" s="3">
        <v>33</v>
      </c>
      <c r="K40" s="4" t="s">
        <v>354</v>
      </c>
      <c r="L40" s="3">
        <v>250</v>
      </c>
      <c r="M40" s="3" t="s">
        <v>33</v>
      </c>
      <c r="N40" s="3" t="s">
        <v>33</v>
      </c>
      <c r="O40" s="3" t="s">
        <v>33</v>
      </c>
      <c r="P40" s="3" t="s">
        <v>33</v>
      </c>
      <c r="Q40" s="3" t="s">
        <v>33</v>
      </c>
      <c r="R40" s="3" t="s">
        <v>33</v>
      </c>
      <c r="S40" s="3" t="s">
        <v>33</v>
      </c>
      <c r="T40" s="6" t="str">
        <f t="shared" si="0"/>
        <v>Ready for client review</v>
      </c>
      <c r="U40" s="7" t="s">
        <v>34</v>
      </c>
      <c r="V40" s="5" t="s">
        <v>355</v>
      </c>
      <c r="W40" s="4" t="s">
        <v>356</v>
      </c>
      <c r="X40" s="4" t="s">
        <v>37</v>
      </c>
      <c r="Y40" s="7" t="s">
        <v>357</v>
      </c>
    </row>
    <row r="41" spans="1:25" ht="25.5" x14ac:dyDescent="0.25">
      <c r="A41" s="3" t="s">
        <v>358</v>
      </c>
      <c r="B41" s="3">
        <v>8</v>
      </c>
      <c r="C41" s="4" t="s">
        <v>359</v>
      </c>
      <c r="D41" s="4"/>
      <c r="E41" s="4" t="s">
        <v>360</v>
      </c>
      <c r="F41" s="5" t="s">
        <v>361</v>
      </c>
      <c r="G41" s="5" t="s">
        <v>362</v>
      </c>
      <c r="H41" s="3">
        <v>9</v>
      </c>
      <c r="I41" s="3"/>
      <c r="J41" s="3"/>
      <c r="K41" s="4"/>
      <c r="L41" s="3"/>
      <c r="M41" s="3" t="s">
        <v>363</v>
      </c>
      <c r="N41" s="3" t="s">
        <v>363</v>
      </c>
      <c r="O41" s="3" t="s">
        <v>363</v>
      </c>
      <c r="P41" s="3" t="s">
        <v>363</v>
      </c>
      <c r="Q41" s="3" t="s">
        <v>363</v>
      </c>
      <c r="R41" s="3" t="s">
        <v>363</v>
      </c>
      <c r="S41" s="3" t="s">
        <v>363</v>
      </c>
      <c r="T41" s="6" t="str">
        <f t="shared" si="0"/>
        <v>Not started</v>
      </c>
      <c r="U41" s="7" t="s">
        <v>34</v>
      </c>
      <c r="V41" s="4"/>
      <c r="W41" s="4" t="s">
        <v>364</v>
      </c>
      <c r="X41" s="4"/>
      <c r="Y41" s="7"/>
    </row>
    <row r="42" spans="1:25" ht="38.25" x14ac:dyDescent="0.25">
      <c r="A42" s="3" t="s">
        <v>365</v>
      </c>
      <c r="B42" s="3">
        <v>8</v>
      </c>
      <c r="C42" s="4" t="s">
        <v>366</v>
      </c>
      <c r="D42" s="4"/>
      <c r="E42" s="4" t="s">
        <v>367</v>
      </c>
      <c r="F42" s="5" t="s">
        <v>368</v>
      </c>
      <c r="G42" s="5" t="s">
        <v>369</v>
      </c>
      <c r="H42" s="3">
        <v>4</v>
      </c>
      <c r="I42" s="3"/>
      <c r="J42" s="3"/>
      <c r="K42" s="4"/>
      <c r="L42" s="3"/>
      <c r="M42" s="3" t="s">
        <v>363</v>
      </c>
      <c r="N42" s="3" t="s">
        <v>363</v>
      </c>
      <c r="O42" s="3" t="s">
        <v>363</v>
      </c>
      <c r="P42" s="3" t="s">
        <v>363</v>
      </c>
      <c r="Q42" s="3" t="s">
        <v>363</v>
      </c>
      <c r="R42" s="3" t="s">
        <v>363</v>
      </c>
      <c r="S42" s="3" t="s">
        <v>363</v>
      </c>
      <c r="T42" s="6" t="str">
        <f t="shared" si="0"/>
        <v>Not started</v>
      </c>
      <c r="U42" s="7" t="s">
        <v>34</v>
      </c>
      <c r="V42" s="4"/>
      <c r="W42" s="4" t="s">
        <v>370</v>
      </c>
      <c r="X42" s="4"/>
      <c r="Y42" s="7" t="s">
        <v>371</v>
      </c>
    </row>
    <row r="43" spans="1:25" ht="25.5" x14ac:dyDescent="0.25">
      <c r="A43" s="3" t="s">
        <v>372</v>
      </c>
      <c r="B43" s="3">
        <v>8</v>
      </c>
      <c r="C43" s="4" t="s">
        <v>373</v>
      </c>
      <c r="D43" s="4"/>
      <c r="E43" s="4" t="s">
        <v>374</v>
      </c>
      <c r="F43" s="5" t="s">
        <v>375</v>
      </c>
      <c r="G43" s="5" t="s">
        <v>376</v>
      </c>
      <c r="H43" s="3">
        <v>12</v>
      </c>
      <c r="I43" s="3"/>
      <c r="J43" s="3"/>
      <c r="K43" s="4"/>
      <c r="L43" s="3"/>
      <c r="M43" s="3" t="s">
        <v>363</v>
      </c>
      <c r="N43" s="3" t="s">
        <v>363</v>
      </c>
      <c r="O43" s="3" t="s">
        <v>363</v>
      </c>
      <c r="P43" s="3" t="s">
        <v>363</v>
      </c>
      <c r="Q43" s="3" t="s">
        <v>363</v>
      </c>
      <c r="R43" s="3" t="s">
        <v>363</v>
      </c>
      <c r="S43" s="3" t="s">
        <v>363</v>
      </c>
      <c r="T43" s="6" t="str">
        <f t="shared" si="0"/>
        <v>Not started</v>
      </c>
      <c r="U43" s="7" t="s">
        <v>34</v>
      </c>
      <c r="V43" s="4"/>
      <c r="W43" s="4" t="s">
        <v>377</v>
      </c>
      <c r="X43" s="4"/>
      <c r="Y43" s="7" t="s">
        <v>378</v>
      </c>
    </row>
    <row r="44" spans="1:25" ht="25.5" x14ac:dyDescent="0.25">
      <c r="A44" s="3" t="s">
        <v>379</v>
      </c>
      <c r="B44" s="3">
        <v>8</v>
      </c>
      <c r="C44" s="4" t="s">
        <v>380</v>
      </c>
      <c r="D44" s="4"/>
      <c r="E44" s="4" t="s">
        <v>381</v>
      </c>
      <c r="F44" s="5" t="s">
        <v>382</v>
      </c>
      <c r="G44" s="5" t="s">
        <v>383</v>
      </c>
      <c r="H44" s="3">
        <v>2</v>
      </c>
      <c r="I44" s="3"/>
      <c r="J44" s="3"/>
      <c r="K44" s="4"/>
      <c r="L44" s="3"/>
      <c r="M44" s="3" t="s">
        <v>363</v>
      </c>
      <c r="N44" s="3" t="s">
        <v>363</v>
      </c>
      <c r="O44" s="3" t="s">
        <v>363</v>
      </c>
      <c r="P44" s="3" t="s">
        <v>363</v>
      </c>
      <c r="Q44" s="3" t="s">
        <v>363</v>
      </c>
      <c r="R44" s="3" t="s">
        <v>363</v>
      </c>
      <c r="S44" s="3" t="s">
        <v>363</v>
      </c>
      <c r="T44" s="6" t="str">
        <f t="shared" si="0"/>
        <v>Not started</v>
      </c>
      <c r="U44" s="7" t="s">
        <v>34</v>
      </c>
      <c r="V44" s="4"/>
      <c r="W44" s="4" t="s">
        <v>384</v>
      </c>
      <c r="X44" s="4"/>
      <c r="Y44" s="7" t="s">
        <v>385</v>
      </c>
    </row>
  </sheetData>
  <autoFilter ref="A4:Y44" xr:uid="{00000000-0009-0000-0000-000000000000}"/>
  <mergeCells count="1">
    <mergeCell ref="A2:Y2"/>
  </mergeCells>
  <conditionalFormatting sqref="M5:T44">
    <cfRule type="cellIs" dxfId="8" priority="1" operator="equal">
      <formula>"Done"</formula>
    </cfRule>
    <cfRule type="cellIs" dxfId="7" priority="2" operator="equal">
      <formula>"Ready for client review"</formula>
    </cfRule>
    <cfRule type="cellIs" dxfId="6" priority="3" operator="equal">
      <formula>"In progress"</formula>
    </cfRule>
    <cfRule type="cellIs" dxfId="5" priority="4" operator="equal">
      <formula>"Blocked"</formula>
    </cfRule>
    <cfRule type="cellIs" dxfId="4" priority="5" operator="equal">
      <formula>"Not started"</formula>
    </cfRule>
    <cfRule type="cellIs" dxfId="3" priority="6" operator="equal">
      <formula>"N/A"</formula>
    </cfRule>
  </conditionalFormatting>
  <conditionalFormatting sqref="U5:U44">
    <cfRule type="cellIs" dxfId="2" priority="7" operator="equal">
      <formula>"Approved"</formula>
    </cfRule>
    <cfRule type="cellIs" dxfId="1" priority="8" operator="equal">
      <formula>"Changes requested"</formula>
    </cfRule>
    <cfRule type="cellIs" dxfId="0" priority="9" operator="equal">
      <formula>"Pending review"</formula>
    </cfRule>
  </conditionalFormatting>
  <dataValidations count="2">
    <dataValidation type="list" sqref="M5:S44" xr:uid="{00000000-0002-0000-0000-000000000000}">
      <formula1>"Not started,In progress,Done,Blocked,N/A"</formula1>
    </dataValidation>
    <dataValidation type="list" allowBlank="1" sqref="U5:U44" xr:uid="{00000000-0002-0000-0000-000001000000}">
      <formula1>"Not sent,Pending review,Changes requested,Approved"</formula1>
    </dataValidation>
  </dataValidations>
  <hyperlinks>
    <hyperlink ref="F5" r:id="rId1" xr:uid="{00000000-0004-0000-0000-000000000000}"/>
    <hyperlink ref="G5" r:id="rId2" xr:uid="{00000000-0004-0000-0000-000001000000}"/>
    <hyperlink ref="V5" r:id="rId3" xr:uid="{00000000-0004-0000-0000-000002000000}"/>
    <hyperlink ref="F6" r:id="rId4" xr:uid="{00000000-0004-0000-0000-000003000000}"/>
    <hyperlink ref="G6" r:id="rId5" xr:uid="{00000000-0004-0000-0000-000004000000}"/>
    <hyperlink ref="V6" r:id="rId6" xr:uid="{00000000-0004-0000-0000-000005000000}"/>
    <hyperlink ref="F7" r:id="rId7" xr:uid="{00000000-0004-0000-0000-000006000000}"/>
    <hyperlink ref="G7" r:id="rId8" xr:uid="{00000000-0004-0000-0000-000007000000}"/>
    <hyperlink ref="V7" r:id="rId9" xr:uid="{00000000-0004-0000-0000-000008000000}"/>
    <hyperlink ref="F8" r:id="rId10" xr:uid="{00000000-0004-0000-0000-000009000000}"/>
    <hyperlink ref="G8" r:id="rId11" xr:uid="{00000000-0004-0000-0000-00000A000000}"/>
    <hyperlink ref="V8" r:id="rId12" xr:uid="{00000000-0004-0000-0000-00000B000000}"/>
    <hyperlink ref="F9" r:id="rId13" xr:uid="{00000000-0004-0000-0000-00000C000000}"/>
    <hyperlink ref="G9" r:id="rId14" xr:uid="{00000000-0004-0000-0000-00000D000000}"/>
    <hyperlink ref="V9" r:id="rId15" xr:uid="{00000000-0004-0000-0000-00000E000000}"/>
    <hyperlink ref="F10" r:id="rId16" xr:uid="{00000000-0004-0000-0000-00000F000000}"/>
    <hyperlink ref="G10" r:id="rId17" xr:uid="{00000000-0004-0000-0000-000010000000}"/>
    <hyperlink ref="V10" r:id="rId18" xr:uid="{00000000-0004-0000-0000-000011000000}"/>
    <hyperlink ref="F11" r:id="rId19" xr:uid="{00000000-0004-0000-0000-000012000000}"/>
    <hyperlink ref="G11" r:id="rId20" xr:uid="{00000000-0004-0000-0000-000013000000}"/>
    <hyperlink ref="V11" r:id="rId21" xr:uid="{00000000-0004-0000-0000-000014000000}"/>
    <hyperlink ref="F12" r:id="rId22" xr:uid="{00000000-0004-0000-0000-000015000000}"/>
    <hyperlink ref="G12" r:id="rId23" xr:uid="{00000000-0004-0000-0000-000016000000}"/>
    <hyperlink ref="V12" r:id="rId24" xr:uid="{00000000-0004-0000-0000-000017000000}"/>
    <hyperlink ref="F13" r:id="rId25" xr:uid="{00000000-0004-0000-0000-000018000000}"/>
    <hyperlink ref="G13" r:id="rId26" xr:uid="{00000000-0004-0000-0000-000019000000}"/>
    <hyperlink ref="V13" r:id="rId27" xr:uid="{00000000-0004-0000-0000-00001A000000}"/>
    <hyperlink ref="F14" r:id="rId28" xr:uid="{00000000-0004-0000-0000-00001B000000}"/>
    <hyperlink ref="G14" r:id="rId29" xr:uid="{00000000-0004-0000-0000-00001C000000}"/>
    <hyperlink ref="V14" r:id="rId30" xr:uid="{00000000-0004-0000-0000-00001D000000}"/>
    <hyperlink ref="F15" r:id="rId31" xr:uid="{00000000-0004-0000-0000-00001E000000}"/>
    <hyperlink ref="G15" r:id="rId32" xr:uid="{00000000-0004-0000-0000-00001F000000}"/>
    <hyperlink ref="V15" r:id="rId33" xr:uid="{00000000-0004-0000-0000-000020000000}"/>
    <hyperlink ref="F16" r:id="rId34" xr:uid="{00000000-0004-0000-0000-000021000000}"/>
    <hyperlink ref="G16" r:id="rId35" xr:uid="{00000000-0004-0000-0000-000022000000}"/>
    <hyperlink ref="V16" r:id="rId36" xr:uid="{00000000-0004-0000-0000-000023000000}"/>
    <hyperlink ref="F17" r:id="rId37" xr:uid="{00000000-0004-0000-0000-000024000000}"/>
    <hyperlink ref="G17" r:id="rId38" xr:uid="{00000000-0004-0000-0000-000025000000}"/>
    <hyperlink ref="V17" r:id="rId39" xr:uid="{00000000-0004-0000-0000-000026000000}"/>
    <hyperlink ref="F18" r:id="rId40" xr:uid="{00000000-0004-0000-0000-000027000000}"/>
    <hyperlink ref="G18" r:id="rId41" xr:uid="{00000000-0004-0000-0000-000028000000}"/>
    <hyperlink ref="V18" r:id="rId42" xr:uid="{00000000-0004-0000-0000-000029000000}"/>
    <hyperlink ref="F19" r:id="rId43" xr:uid="{00000000-0004-0000-0000-00002A000000}"/>
    <hyperlink ref="G19" r:id="rId44" xr:uid="{00000000-0004-0000-0000-00002B000000}"/>
    <hyperlink ref="V19" r:id="rId45" xr:uid="{00000000-0004-0000-0000-00002C000000}"/>
    <hyperlink ref="F20" r:id="rId46" xr:uid="{00000000-0004-0000-0000-00002D000000}"/>
    <hyperlink ref="G20" r:id="rId47" xr:uid="{00000000-0004-0000-0000-00002E000000}"/>
    <hyperlink ref="V20" r:id="rId48" xr:uid="{00000000-0004-0000-0000-00002F000000}"/>
    <hyperlink ref="F21" r:id="rId49" xr:uid="{00000000-0004-0000-0000-000030000000}"/>
    <hyperlink ref="G21" r:id="rId50" xr:uid="{00000000-0004-0000-0000-000031000000}"/>
    <hyperlink ref="V21" r:id="rId51" xr:uid="{00000000-0004-0000-0000-000032000000}"/>
    <hyperlink ref="F22" r:id="rId52" xr:uid="{00000000-0004-0000-0000-000033000000}"/>
    <hyperlink ref="G22" r:id="rId53" xr:uid="{00000000-0004-0000-0000-000034000000}"/>
    <hyperlink ref="V22" r:id="rId54" xr:uid="{00000000-0004-0000-0000-000035000000}"/>
    <hyperlink ref="F23" r:id="rId55" xr:uid="{00000000-0004-0000-0000-000036000000}"/>
    <hyperlink ref="G23" r:id="rId56" xr:uid="{00000000-0004-0000-0000-000037000000}"/>
    <hyperlink ref="V23" r:id="rId57" xr:uid="{00000000-0004-0000-0000-000038000000}"/>
    <hyperlink ref="F24" r:id="rId58" xr:uid="{00000000-0004-0000-0000-000039000000}"/>
    <hyperlink ref="G24" r:id="rId59" xr:uid="{00000000-0004-0000-0000-00003A000000}"/>
    <hyperlink ref="V24" r:id="rId60" xr:uid="{00000000-0004-0000-0000-00003B000000}"/>
    <hyperlink ref="F25" r:id="rId61" xr:uid="{00000000-0004-0000-0000-00003C000000}"/>
    <hyperlink ref="G25" r:id="rId62" xr:uid="{00000000-0004-0000-0000-00003D000000}"/>
    <hyperlink ref="V25" r:id="rId63" xr:uid="{00000000-0004-0000-0000-00003E000000}"/>
    <hyperlink ref="F26" r:id="rId64" xr:uid="{00000000-0004-0000-0000-00003F000000}"/>
    <hyperlink ref="G26" r:id="rId65" xr:uid="{00000000-0004-0000-0000-000040000000}"/>
    <hyperlink ref="V26" r:id="rId66" xr:uid="{00000000-0004-0000-0000-000041000000}"/>
    <hyperlink ref="F27" r:id="rId67" xr:uid="{00000000-0004-0000-0000-000042000000}"/>
    <hyperlink ref="G27" r:id="rId68" xr:uid="{00000000-0004-0000-0000-000043000000}"/>
    <hyperlink ref="V27" r:id="rId69" xr:uid="{00000000-0004-0000-0000-000044000000}"/>
    <hyperlink ref="F28" r:id="rId70" xr:uid="{00000000-0004-0000-0000-000045000000}"/>
    <hyperlink ref="G28" r:id="rId71" xr:uid="{00000000-0004-0000-0000-000046000000}"/>
    <hyperlink ref="V28" r:id="rId72" xr:uid="{00000000-0004-0000-0000-000047000000}"/>
    <hyperlink ref="F29" r:id="rId73" xr:uid="{00000000-0004-0000-0000-000048000000}"/>
    <hyperlink ref="G29" r:id="rId74" xr:uid="{00000000-0004-0000-0000-000049000000}"/>
    <hyperlink ref="V29" r:id="rId75" xr:uid="{00000000-0004-0000-0000-00004A000000}"/>
    <hyperlink ref="F30" r:id="rId76" xr:uid="{00000000-0004-0000-0000-00004B000000}"/>
    <hyperlink ref="G30" r:id="rId77" xr:uid="{00000000-0004-0000-0000-00004C000000}"/>
    <hyperlink ref="V30" r:id="rId78" xr:uid="{00000000-0004-0000-0000-00004D000000}"/>
    <hyperlink ref="F31" r:id="rId79" xr:uid="{00000000-0004-0000-0000-00004E000000}"/>
    <hyperlink ref="G31" r:id="rId80" xr:uid="{00000000-0004-0000-0000-00004F000000}"/>
    <hyperlink ref="V31" r:id="rId81" xr:uid="{00000000-0004-0000-0000-000050000000}"/>
    <hyperlink ref="F32" r:id="rId82" xr:uid="{00000000-0004-0000-0000-000051000000}"/>
    <hyperlink ref="G32" r:id="rId83" xr:uid="{00000000-0004-0000-0000-000052000000}"/>
    <hyperlink ref="V32" r:id="rId84" xr:uid="{00000000-0004-0000-0000-000053000000}"/>
    <hyperlink ref="F33" r:id="rId85" xr:uid="{00000000-0004-0000-0000-000054000000}"/>
    <hyperlink ref="G33" r:id="rId86" xr:uid="{00000000-0004-0000-0000-000055000000}"/>
    <hyperlink ref="V33" r:id="rId87" xr:uid="{00000000-0004-0000-0000-000056000000}"/>
    <hyperlink ref="F34" r:id="rId88" xr:uid="{00000000-0004-0000-0000-000057000000}"/>
    <hyperlink ref="G34" r:id="rId89" xr:uid="{00000000-0004-0000-0000-000058000000}"/>
    <hyperlink ref="V34" r:id="rId90" xr:uid="{00000000-0004-0000-0000-000059000000}"/>
    <hyperlink ref="F35" r:id="rId91" xr:uid="{00000000-0004-0000-0000-00005A000000}"/>
    <hyperlink ref="G35" r:id="rId92" xr:uid="{00000000-0004-0000-0000-00005B000000}"/>
    <hyperlink ref="V35" r:id="rId93" xr:uid="{00000000-0004-0000-0000-00005C000000}"/>
    <hyperlink ref="F36" r:id="rId94" xr:uid="{00000000-0004-0000-0000-00005D000000}"/>
    <hyperlink ref="G36" r:id="rId95" xr:uid="{00000000-0004-0000-0000-00005E000000}"/>
    <hyperlink ref="V36" r:id="rId96" xr:uid="{00000000-0004-0000-0000-00005F000000}"/>
    <hyperlink ref="F37" r:id="rId97" xr:uid="{00000000-0004-0000-0000-000060000000}"/>
    <hyperlink ref="G37" r:id="rId98" xr:uid="{00000000-0004-0000-0000-000061000000}"/>
    <hyperlink ref="V37" r:id="rId99" xr:uid="{00000000-0004-0000-0000-000062000000}"/>
    <hyperlink ref="F38" r:id="rId100" xr:uid="{00000000-0004-0000-0000-000063000000}"/>
    <hyperlink ref="G38" r:id="rId101" xr:uid="{00000000-0004-0000-0000-000064000000}"/>
    <hyperlink ref="V38" r:id="rId102" xr:uid="{00000000-0004-0000-0000-000065000000}"/>
    <hyperlink ref="F39" r:id="rId103" xr:uid="{00000000-0004-0000-0000-000066000000}"/>
    <hyperlink ref="G39" r:id="rId104" xr:uid="{00000000-0004-0000-0000-000067000000}"/>
    <hyperlink ref="V39" r:id="rId105" xr:uid="{00000000-0004-0000-0000-000068000000}"/>
    <hyperlink ref="F40" r:id="rId106" xr:uid="{00000000-0004-0000-0000-000069000000}"/>
    <hyperlink ref="G40" r:id="rId107" xr:uid="{00000000-0004-0000-0000-00006A000000}"/>
    <hyperlink ref="V40" r:id="rId108" xr:uid="{00000000-0004-0000-0000-00006B000000}"/>
    <hyperlink ref="F41" r:id="rId109" xr:uid="{00000000-0004-0000-0000-00006C000000}"/>
    <hyperlink ref="G41" r:id="rId110" xr:uid="{00000000-0004-0000-0000-00006D000000}"/>
    <hyperlink ref="F42" r:id="rId111" xr:uid="{00000000-0004-0000-0000-00006E000000}"/>
    <hyperlink ref="G42" r:id="rId112" xr:uid="{00000000-0004-0000-0000-00006F000000}"/>
    <hyperlink ref="F43" r:id="rId113" xr:uid="{00000000-0004-0000-0000-000070000000}"/>
    <hyperlink ref="G43" r:id="rId114" xr:uid="{00000000-0004-0000-0000-000071000000}"/>
    <hyperlink ref="F44" r:id="rId115" xr:uid="{00000000-0004-0000-0000-000072000000}"/>
    <hyperlink ref="G44" r:id="rId116" xr:uid="{00000000-0004-0000-0000-00007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4"/>
  <sheetViews>
    <sheetView workbookViewId="0"/>
  </sheetViews>
  <sheetFormatPr defaultRowHeight="15" x14ac:dyDescent="0.25"/>
  <cols>
    <col min="1" max="1" width="34" customWidth="1"/>
    <col min="2" max="2" width="10" customWidth="1"/>
    <col min="3" max="3" width="24" customWidth="1"/>
    <col min="4" max="4" width="12" customWidth="1"/>
    <col min="5" max="5" width="24" customWidth="1"/>
  </cols>
  <sheetData>
    <row r="1" spans="1:3" ht="18" x14ac:dyDescent="0.25">
      <c r="A1" s="1" t="s">
        <v>386</v>
      </c>
    </row>
    <row r="2" spans="1:3" x14ac:dyDescent="0.25">
      <c r="A2" s="8" t="s">
        <v>387</v>
      </c>
    </row>
    <row r="4" spans="1:3" x14ac:dyDescent="0.25">
      <c r="A4" s="9" t="s">
        <v>388</v>
      </c>
      <c r="B4" s="9" t="s">
        <v>389</v>
      </c>
    </row>
    <row r="5" spans="1:3" x14ac:dyDescent="0.25">
      <c r="A5" s="10" t="s">
        <v>390</v>
      </c>
      <c r="B5" s="6">
        <f>COUNTA(Pages!$A$5:$A$44)</f>
        <v>40</v>
      </c>
    </row>
    <row r="6" spans="1:3" x14ac:dyDescent="0.25">
      <c r="A6" s="10" t="s">
        <v>391</v>
      </c>
      <c r="B6" s="6">
        <f>COUNTIF(Pages!$T$5:$T$44,"Ready for client review")</f>
        <v>36</v>
      </c>
    </row>
    <row r="7" spans="1:3" x14ac:dyDescent="0.25">
      <c r="A7" s="10" t="s">
        <v>392</v>
      </c>
      <c r="B7" s="6">
        <f>COUNTIF(Pages!$T$5:$T$44,"In progress")</f>
        <v>0</v>
      </c>
    </row>
    <row r="8" spans="1:3" x14ac:dyDescent="0.25">
      <c r="A8" s="10" t="s">
        <v>363</v>
      </c>
      <c r="B8" s="6">
        <f>COUNTIF(Pages!$T$5:$T$44,"Not started")</f>
        <v>4</v>
      </c>
    </row>
    <row r="9" spans="1:3" x14ac:dyDescent="0.25">
      <c r="A9" s="10" t="s">
        <v>393</v>
      </c>
      <c r="B9" s="6">
        <f>COUNTIF(Pages!$T$5:$T$44,"Blocked")</f>
        <v>0</v>
      </c>
    </row>
    <row r="10" spans="1:3" x14ac:dyDescent="0.25">
      <c r="A10" s="10" t="s">
        <v>394</v>
      </c>
      <c r="B10" s="6">
        <f>COUNTIF(Pages!$U$5:$U$44,"Approved")</f>
        <v>0</v>
      </c>
    </row>
    <row r="11" spans="1:3" x14ac:dyDescent="0.25">
      <c r="A11" s="10" t="s">
        <v>395</v>
      </c>
      <c r="B11" s="6">
        <f>COUNTIF(Pages!$U$5:$U$44,"Changes requested")</f>
        <v>0</v>
      </c>
    </row>
    <row r="12" spans="1:3" x14ac:dyDescent="0.25">
      <c r="A12" s="10" t="s">
        <v>396</v>
      </c>
      <c r="B12" s="6">
        <f>SUM(Pages!$I$5:$I$44)</f>
        <v>724</v>
      </c>
    </row>
    <row r="14" spans="1:3" x14ac:dyDescent="0.25">
      <c r="A14" s="11" t="s">
        <v>397</v>
      </c>
    </row>
    <row r="15" spans="1:3" x14ac:dyDescent="0.25">
      <c r="A15" s="9" t="s">
        <v>398</v>
      </c>
      <c r="B15" s="9" t="s">
        <v>33</v>
      </c>
      <c r="C15" s="9" t="s">
        <v>399</v>
      </c>
    </row>
    <row r="16" spans="1:3" x14ac:dyDescent="0.25">
      <c r="A16" s="10" t="s">
        <v>14</v>
      </c>
      <c r="B16" s="10">
        <f>COUNTIF(Pages!$M$5:$M$44,"Done")</f>
        <v>36</v>
      </c>
      <c r="C16" s="12">
        <f t="shared" ref="C16:C22" si="0">IF($B$5=0,0,B16/$B$5)</f>
        <v>0.9</v>
      </c>
    </row>
    <row r="17" spans="1:5" x14ac:dyDescent="0.25">
      <c r="A17" s="10" t="s">
        <v>15</v>
      </c>
      <c r="B17" s="10">
        <f>COUNTIF(Pages!$N$5:$N$44,"Done")</f>
        <v>36</v>
      </c>
      <c r="C17" s="12">
        <f t="shared" si="0"/>
        <v>0.9</v>
      </c>
    </row>
    <row r="18" spans="1:5" x14ac:dyDescent="0.25">
      <c r="A18" s="10" t="s">
        <v>16</v>
      </c>
      <c r="B18" s="10">
        <f>COUNTIF(Pages!$O$5:$O$44,"Done")</f>
        <v>36</v>
      </c>
      <c r="C18" s="12">
        <f t="shared" si="0"/>
        <v>0.9</v>
      </c>
    </row>
    <row r="19" spans="1:5" x14ac:dyDescent="0.25">
      <c r="A19" s="10" t="s">
        <v>17</v>
      </c>
      <c r="B19" s="10">
        <f>COUNTIF(Pages!$P$5:$P$44,"Done")</f>
        <v>36</v>
      </c>
      <c r="C19" s="12">
        <f t="shared" si="0"/>
        <v>0.9</v>
      </c>
    </row>
    <row r="20" spans="1:5" x14ac:dyDescent="0.25">
      <c r="A20" s="10" t="s">
        <v>18</v>
      </c>
      <c r="B20" s="10">
        <f>COUNTIF(Pages!$Q$5:$Q$44,"Done")</f>
        <v>36</v>
      </c>
      <c r="C20" s="12">
        <f t="shared" si="0"/>
        <v>0.9</v>
      </c>
    </row>
    <row r="21" spans="1:5" x14ac:dyDescent="0.25">
      <c r="A21" s="10" t="s">
        <v>19</v>
      </c>
      <c r="B21" s="10">
        <f>COUNTIF(Pages!$R$5:$R$44,"Done")</f>
        <v>36</v>
      </c>
      <c r="C21" s="12">
        <f t="shared" si="0"/>
        <v>0.9</v>
      </c>
    </row>
    <row r="22" spans="1:5" x14ac:dyDescent="0.25">
      <c r="A22" s="10" t="s">
        <v>20</v>
      </c>
      <c r="B22" s="10">
        <f>COUNTIF(Pages!$S$5:$S$44,"Done")</f>
        <v>36</v>
      </c>
      <c r="C22" s="12">
        <f t="shared" si="0"/>
        <v>0.9</v>
      </c>
    </row>
    <row r="24" spans="1:5" x14ac:dyDescent="0.25">
      <c r="A24" s="11" t="s">
        <v>400</v>
      </c>
    </row>
    <row r="25" spans="1:5" x14ac:dyDescent="0.25">
      <c r="A25" s="9" t="s">
        <v>3</v>
      </c>
      <c r="B25" s="9" t="s">
        <v>401</v>
      </c>
      <c r="C25" s="9" t="s">
        <v>391</v>
      </c>
      <c r="D25" s="9" t="s">
        <v>402</v>
      </c>
      <c r="E25" s="9" t="s">
        <v>403</v>
      </c>
    </row>
    <row r="26" spans="1:5" x14ac:dyDescent="0.25">
      <c r="A26" s="10">
        <v>0</v>
      </c>
      <c r="B26" s="10">
        <f>COUNTIF(Pages!$B$5:$B$44,A26)</f>
        <v>1</v>
      </c>
      <c r="C26" s="10">
        <f>COUNTIFS(Pages!$B$5:$B$44,A26,Pages!$T$5:$T$44,"Ready for client review")</f>
        <v>1</v>
      </c>
      <c r="D26" s="10">
        <f>COUNTIFS(Pages!$B$5:$B$44,A26,Pages!$U$5:$U$44,"Approved")</f>
        <v>0</v>
      </c>
      <c r="E26" s="6" t="str">
        <f>IF(D26=B26,"Approved",IF(C26=B26,"Ready for client review",IF(C26&gt;0,"In progress",IF(COUNTIFS(Pages!$B$5:$B$44,A26,Pages!$T$5:$T$44,"In progress")&gt;0,"In progress","Not started"))))</f>
        <v>Ready for client review</v>
      </c>
    </row>
    <row r="27" spans="1:5" x14ac:dyDescent="0.25">
      <c r="A27" s="10">
        <v>1</v>
      </c>
      <c r="B27" s="10">
        <f>COUNTIF(Pages!$B$5:$B$44,A27)</f>
        <v>5</v>
      </c>
      <c r="C27" s="10">
        <f>COUNTIFS(Pages!$B$5:$B$44,A27,Pages!$T$5:$T$44,"Ready for client review")</f>
        <v>5</v>
      </c>
      <c r="D27" s="10">
        <f>COUNTIFS(Pages!$B$5:$B$44,A27,Pages!$U$5:$U$44,"Approved")</f>
        <v>0</v>
      </c>
      <c r="E27" s="6" t="str">
        <f>IF(D27=B27,"Approved",IF(C27=B27,"Ready for client review",IF(C27&gt;0,"In progress",IF(COUNTIFS(Pages!$B$5:$B$44,A27,Pages!$T$5:$T$44,"In progress")&gt;0,"In progress","Not started"))))</f>
        <v>Ready for client review</v>
      </c>
    </row>
    <row r="28" spans="1:5" x14ac:dyDescent="0.25">
      <c r="A28" s="10">
        <v>2</v>
      </c>
      <c r="B28" s="10">
        <f>COUNTIF(Pages!$B$5:$B$44,A28)</f>
        <v>5</v>
      </c>
      <c r="C28" s="10">
        <f>COUNTIFS(Pages!$B$5:$B$44,A28,Pages!$T$5:$T$44,"Ready for client review")</f>
        <v>5</v>
      </c>
      <c r="D28" s="10">
        <f>COUNTIFS(Pages!$B$5:$B$44,A28,Pages!$U$5:$U$44,"Approved")</f>
        <v>0</v>
      </c>
      <c r="E28" s="6" t="str">
        <f>IF(D28=B28,"Approved",IF(C28=B28,"Ready for client review",IF(C28&gt;0,"In progress",IF(COUNTIFS(Pages!$B$5:$B$44,A28,Pages!$T$5:$T$44,"In progress")&gt;0,"In progress","Not started"))))</f>
        <v>Ready for client review</v>
      </c>
    </row>
    <row r="29" spans="1:5" x14ac:dyDescent="0.25">
      <c r="A29" s="10">
        <v>3</v>
      </c>
      <c r="B29" s="10">
        <f>COUNTIF(Pages!$B$5:$B$44,A29)</f>
        <v>5</v>
      </c>
      <c r="C29" s="10">
        <f>COUNTIFS(Pages!$B$5:$B$44,A29,Pages!$T$5:$T$44,"Ready for client review")</f>
        <v>5</v>
      </c>
      <c r="D29" s="10">
        <f>COUNTIFS(Pages!$B$5:$B$44,A29,Pages!$U$5:$U$44,"Approved")</f>
        <v>0</v>
      </c>
      <c r="E29" s="6" t="str">
        <f>IF(D29=B29,"Approved",IF(C29=B29,"Ready for client review",IF(C29&gt;0,"In progress",IF(COUNTIFS(Pages!$B$5:$B$44,A29,Pages!$T$5:$T$44,"In progress")&gt;0,"In progress","Not started"))))</f>
        <v>Ready for client review</v>
      </c>
    </row>
    <row r="30" spans="1:5" x14ac:dyDescent="0.25">
      <c r="A30" s="10">
        <v>4</v>
      </c>
      <c r="B30" s="10">
        <f>COUNTIF(Pages!$B$5:$B$44,A30)</f>
        <v>5</v>
      </c>
      <c r="C30" s="10">
        <f>COUNTIFS(Pages!$B$5:$B$44,A30,Pages!$T$5:$T$44,"Ready for client review")</f>
        <v>5</v>
      </c>
      <c r="D30" s="10">
        <f>COUNTIFS(Pages!$B$5:$B$44,A30,Pages!$U$5:$U$44,"Approved")</f>
        <v>0</v>
      </c>
      <c r="E30" s="6" t="str">
        <f>IF(D30=B30,"Approved",IF(C30=B30,"Ready for client review",IF(C30&gt;0,"In progress",IF(COUNTIFS(Pages!$B$5:$B$44,A30,Pages!$T$5:$T$44,"In progress")&gt;0,"In progress","Not started"))))</f>
        <v>Ready for client review</v>
      </c>
    </row>
    <row r="31" spans="1:5" x14ac:dyDescent="0.25">
      <c r="A31" s="10">
        <v>5</v>
      </c>
      <c r="B31" s="10">
        <f>COUNTIF(Pages!$B$5:$B$44,A31)</f>
        <v>5</v>
      </c>
      <c r="C31" s="10">
        <f>COUNTIFS(Pages!$B$5:$B$44,A31,Pages!$T$5:$T$44,"Ready for client review")</f>
        <v>5</v>
      </c>
      <c r="D31" s="10">
        <f>COUNTIFS(Pages!$B$5:$B$44,A31,Pages!$U$5:$U$44,"Approved")</f>
        <v>0</v>
      </c>
      <c r="E31" s="6" t="str">
        <f>IF(D31=B31,"Approved",IF(C31=B31,"Ready for client review",IF(C31&gt;0,"In progress",IF(COUNTIFS(Pages!$B$5:$B$44,A31,Pages!$T$5:$T$44,"In progress")&gt;0,"In progress","Not started"))))</f>
        <v>Ready for client review</v>
      </c>
    </row>
    <row r="32" spans="1:5" x14ac:dyDescent="0.25">
      <c r="A32" s="10">
        <v>6</v>
      </c>
      <c r="B32" s="10">
        <f>COUNTIF(Pages!$B$5:$B$44,A32)</f>
        <v>5</v>
      </c>
      <c r="C32" s="10">
        <f>COUNTIFS(Pages!$B$5:$B$44,A32,Pages!$T$5:$T$44,"Ready for client review")</f>
        <v>5</v>
      </c>
      <c r="D32" s="10">
        <f>COUNTIFS(Pages!$B$5:$B$44,A32,Pages!$U$5:$U$44,"Approved")</f>
        <v>0</v>
      </c>
      <c r="E32" s="6" t="str">
        <f>IF(D32=B32,"Approved",IF(C32=B32,"Ready for client review",IF(C32&gt;0,"In progress",IF(COUNTIFS(Pages!$B$5:$B$44,A32,Pages!$T$5:$T$44,"In progress")&gt;0,"In progress","Not started"))))</f>
        <v>Ready for client review</v>
      </c>
    </row>
    <row r="33" spans="1:5" x14ac:dyDescent="0.25">
      <c r="A33" s="10">
        <v>7</v>
      </c>
      <c r="B33" s="10">
        <f>COUNTIF(Pages!$B$5:$B$44,A33)</f>
        <v>5</v>
      </c>
      <c r="C33" s="10">
        <f>COUNTIFS(Pages!$B$5:$B$44,A33,Pages!$T$5:$T$44,"Ready for client review")</f>
        <v>5</v>
      </c>
      <c r="D33" s="10">
        <f>COUNTIFS(Pages!$B$5:$B$44,A33,Pages!$U$5:$U$44,"Approved")</f>
        <v>0</v>
      </c>
      <c r="E33" s="6" t="str">
        <f>IF(D33=B33,"Approved",IF(C33=B33,"Ready for client review",IF(C33&gt;0,"In progress",IF(COUNTIFS(Pages!$B$5:$B$44,A33,Pages!$T$5:$T$44,"In progress")&gt;0,"In progress","Not started"))))</f>
        <v>Ready for client review</v>
      </c>
    </row>
    <row r="34" spans="1:5" x14ac:dyDescent="0.25">
      <c r="A34" s="10">
        <v>8</v>
      </c>
      <c r="B34" s="10">
        <f>COUNTIF(Pages!$B$5:$B$44,A34)</f>
        <v>4</v>
      </c>
      <c r="C34" s="10">
        <f>COUNTIFS(Pages!$B$5:$B$44,A34,Pages!$T$5:$T$44,"Ready for client review")</f>
        <v>0</v>
      </c>
      <c r="D34" s="10">
        <f>COUNTIFS(Pages!$B$5:$B$44,A34,Pages!$U$5:$U$44,"Approved")</f>
        <v>0</v>
      </c>
      <c r="E34" s="6" t="str">
        <f>IF(D34=B34,"Approved",IF(C34=B34,"Ready for client review",IF(C34&gt;0,"In progress",IF(COUNTIFS(Pages!$B$5:$B$44,A34,Pages!$T$5:$T$44,"In progress")&gt;0,"In progress","Not started"))))</f>
        <v>Not started</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heetViews>
  <sheetFormatPr defaultRowHeight="15" x14ac:dyDescent="0.25"/>
  <cols>
    <col min="1" max="1" width="26" customWidth="1"/>
    <col min="2" max="2" width="120" customWidth="1"/>
  </cols>
  <sheetData>
    <row r="1" spans="1:2" ht="18" x14ac:dyDescent="0.25">
      <c r="A1" s="1" t="s">
        <v>404</v>
      </c>
    </row>
    <row r="3" spans="1:2" ht="25.5" x14ac:dyDescent="0.25">
      <c r="A3" s="13" t="s">
        <v>405</v>
      </c>
      <c r="B3" s="14" t="s">
        <v>406</v>
      </c>
    </row>
    <row r="4" spans="1:2" ht="25.5" x14ac:dyDescent="0.25">
      <c r="A4" s="13" t="s">
        <v>14</v>
      </c>
      <c r="B4" s="14" t="s">
        <v>407</v>
      </c>
    </row>
    <row r="5" spans="1:2" x14ac:dyDescent="0.25">
      <c r="A5" s="13" t="s">
        <v>15</v>
      </c>
      <c r="B5" s="14" t="s">
        <v>408</v>
      </c>
    </row>
    <row r="6" spans="1:2" x14ac:dyDescent="0.25">
      <c r="A6" s="13" t="s">
        <v>16</v>
      </c>
      <c r="B6" s="14" t="s">
        <v>409</v>
      </c>
    </row>
    <row r="7" spans="1:2" ht="25.5" x14ac:dyDescent="0.25">
      <c r="A7" s="13" t="s">
        <v>17</v>
      </c>
      <c r="B7" s="14" t="s">
        <v>410</v>
      </c>
    </row>
    <row r="8" spans="1:2" x14ac:dyDescent="0.25">
      <c r="A8" s="13" t="s">
        <v>18</v>
      </c>
      <c r="B8" s="14" t="s">
        <v>411</v>
      </c>
    </row>
    <row r="9" spans="1:2" x14ac:dyDescent="0.25">
      <c r="A9" s="13" t="s">
        <v>19</v>
      </c>
      <c r="B9" s="14" t="s">
        <v>412</v>
      </c>
    </row>
    <row r="10" spans="1:2" x14ac:dyDescent="0.25">
      <c r="A10" s="13" t="s">
        <v>20</v>
      </c>
      <c r="B10" s="14" t="s">
        <v>413</v>
      </c>
    </row>
    <row r="11" spans="1:2" ht="25.5" x14ac:dyDescent="0.25">
      <c r="A11" s="13" t="s">
        <v>9</v>
      </c>
      <c r="B11" s="14" t="s">
        <v>414</v>
      </c>
    </row>
    <row r="12" spans="1:2" x14ac:dyDescent="0.25">
      <c r="A12" s="13" t="s">
        <v>415</v>
      </c>
      <c r="B12" s="14" t="s">
        <v>416</v>
      </c>
    </row>
    <row r="13" spans="1:2" ht="25.5" x14ac:dyDescent="0.25">
      <c r="A13" s="13" t="s">
        <v>417</v>
      </c>
      <c r="B13" s="14" t="s">
        <v>418</v>
      </c>
    </row>
    <row r="15" spans="1:2" x14ac:dyDescent="0.25">
      <c r="A15" s="11" t="s">
        <v>419</v>
      </c>
      <c r="B15" s="15"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Pages</vt:lpstr>
      <vt:lpstr>Summary</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OP DIGITAL</cp:lastModifiedBy>
  <dcterms:created xsi:type="dcterms:W3CDTF">2026-10-02T04:24:44Z</dcterms:created>
  <dcterms:modified xsi:type="dcterms:W3CDTF">2026-10-02T04:24:55Z</dcterms:modified>
</cp:coreProperties>
</file>